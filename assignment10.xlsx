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/Users/anthonymaniscalco/Documents/"/>
    </mc:Choice>
  </mc:AlternateContent>
  <xr:revisionPtr revIDLastSave="0" documentId="13_ncr:1_{A164C167-0BAD-2B4E-9798-A3FEB50DFDC6}" xr6:coauthVersionLast="47" xr6:coauthVersionMax="47" xr10:uidLastSave="{00000000-0000-0000-0000-000000000000}"/>
  <bookViews>
    <workbookView xWindow="280" yWindow="760" windowWidth="22780" windowHeight="17120" activeTab="1" xr2:uid="{00000000-000D-0000-FFFF-FFFF00000000}"/>
  </bookViews>
  <sheets>
    <sheet name="Taxes" sheetId="2" r:id="rId1"/>
    <sheet name="Orders" sheetId="3" r:id="rId2"/>
    <sheet name="Charts" sheetId="4" r:id="rId3"/>
  </sheets>
  <calcPr calcId="191028"/>
  <pivotCaches>
    <pivotCache cacheId="2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7" i="3" l="1"/>
  <c r="E53" i="3"/>
  <c r="F53" i="3"/>
  <c r="S53" i="3"/>
  <c r="L4" i="3"/>
  <c r="M4" i="3" s="1"/>
  <c r="L5" i="3"/>
  <c r="M5" i="3" s="1"/>
  <c r="L3" i="3"/>
  <c r="M3" i="3" s="1"/>
  <c r="B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3" i="3"/>
  <c r="L6" i="3"/>
  <c r="M6" i="3" s="1"/>
  <c r="L7" i="3"/>
  <c r="M7" i="3" s="1"/>
  <c r="O7" i="3" s="1"/>
  <c r="L8" i="3"/>
  <c r="M8" i="3" s="1"/>
  <c r="O8" i="3" s="1"/>
  <c r="L9" i="3"/>
  <c r="M9" i="3" s="1"/>
  <c r="O9" i="3" s="1"/>
  <c r="L10" i="3"/>
  <c r="M10" i="3" s="1"/>
  <c r="O10" i="3" s="1"/>
  <c r="L11" i="3"/>
  <c r="M11" i="3" s="1"/>
  <c r="L12" i="3"/>
  <c r="M12" i="3" s="1"/>
  <c r="L13" i="3"/>
  <c r="M13" i="3" s="1"/>
  <c r="L14" i="3"/>
  <c r="M14" i="3" s="1"/>
  <c r="L15" i="3"/>
  <c r="M15" i="3" s="1"/>
  <c r="O15" i="3" s="1"/>
  <c r="L16" i="3"/>
  <c r="M16" i="3" s="1"/>
  <c r="O16" i="3" s="1"/>
  <c r="L17" i="3"/>
  <c r="M17" i="3" s="1"/>
  <c r="O17" i="3" s="1"/>
  <c r="L18" i="3"/>
  <c r="M18" i="3" s="1"/>
  <c r="O18" i="3" s="1"/>
  <c r="L19" i="3"/>
  <c r="M19" i="3" s="1"/>
  <c r="L20" i="3"/>
  <c r="M20" i="3" s="1"/>
  <c r="L21" i="3"/>
  <c r="M21" i="3" s="1"/>
  <c r="L22" i="3"/>
  <c r="M22" i="3" s="1"/>
  <c r="L23" i="3"/>
  <c r="M23" i="3" s="1"/>
  <c r="O23" i="3" s="1"/>
  <c r="L24" i="3"/>
  <c r="M24" i="3" s="1"/>
  <c r="O24" i="3" s="1"/>
  <c r="L25" i="3"/>
  <c r="M25" i="3" s="1"/>
  <c r="O25" i="3" s="1"/>
  <c r="L26" i="3"/>
  <c r="M26" i="3" s="1"/>
  <c r="O26" i="3" s="1"/>
  <c r="L27" i="3"/>
  <c r="M27" i="3" s="1"/>
  <c r="L28" i="3"/>
  <c r="M28" i="3" s="1"/>
  <c r="L29" i="3"/>
  <c r="M29" i="3" s="1"/>
  <c r="L30" i="3"/>
  <c r="M30" i="3" s="1"/>
  <c r="O30" i="3" s="1"/>
  <c r="L31" i="3"/>
  <c r="M31" i="3" s="1"/>
  <c r="O31" i="3" s="1"/>
  <c r="L32" i="3"/>
  <c r="M32" i="3" s="1"/>
  <c r="O32" i="3" s="1"/>
  <c r="L33" i="3"/>
  <c r="M33" i="3" s="1"/>
  <c r="O33" i="3" s="1"/>
  <c r="L34" i="3"/>
  <c r="M34" i="3" s="1"/>
  <c r="O34" i="3" s="1"/>
  <c r="L35" i="3"/>
  <c r="M35" i="3" s="1"/>
  <c r="L36" i="3"/>
  <c r="M36" i="3" s="1"/>
  <c r="L37" i="3"/>
  <c r="M37" i="3" s="1"/>
  <c r="L38" i="3"/>
  <c r="M38" i="3" s="1"/>
  <c r="O38" i="3" s="1"/>
  <c r="L39" i="3"/>
  <c r="M39" i="3" s="1"/>
  <c r="O39" i="3" s="1"/>
  <c r="L40" i="3"/>
  <c r="M40" i="3" s="1"/>
  <c r="O40" i="3" s="1"/>
  <c r="L41" i="3"/>
  <c r="M41" i="3" s="1"/>
  <c r="O41" i="3" s="1"/>
  <c r="L42" i="3"/>
  <c r="M42" i="3" s="1"/>
  <c r="O42" i="3" s="1"/>
  <c r="L43" i="3"/>
  <c r="M43" i="3" s="1"/>
  <c r="L44" i="3"/>
  <c r="M44" i="3" s="1"/>
  <c r="L45" i="3"/>
  <c r="M45" i="3" s="1"/>
  <c r="L46" i="3"/>
  <c r="M46" i="3" s="1"/>
  <c r="O46" i="3" s="1"/>
  <c r="L47" i="3"/>
  <c r="M47" i="3" s="1"/>
  <c r="O47" i="3" s="1"/>
  <c r="L48" i="3"/>
  <c r="M48" i="3" s="1"/>
  <c r="O48" i="3" s="1"/>
  <c r="L49" i="3"/>
  <c r="M49" i="3" s="1"/>
  <c r="O49" i="3" s="1"/>
  <c r="L50" i="3"/>
  <c r="M50" i="3" s="1"/>
  <c r="O50" i="3" s="1"/>
  <c r="L51" i="3"/>
  <c r="M51" i="3" s="1"/>
  <c r="L52" i="3"/>
  <c r="M52" i="3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O51" i="3" l="1"/>
  <c r="O43" i="3"/>
  <c r="O35" i="3"/>
  <c r="O27" i="3"/>
  <c r="O19" i="3"/>
  <c r="O11" i="3"/>
  <c r="O14" i="3"/>
  <c r="O3" i="3"/>
  <c r="O45" i="3"/>
  <c r="O37" i="3"/>
  <c r="O29" i="3"/>
  <c r="O21" i="3"/>
  <c r="O13" i="3"/>
  <c r="O5" i="3"/>
  <c r="O22" i="3"/>
  <c r="O6" i="3"/>
  <c r="O52" i="3"/>
  <c r="O44" i="3"/>
  <c r="O36" i="3"/>
  <c r="O28" i="3"/>
  <c r="O20" i="3"/>
  <c r="O12" i="3"/>
  <c r="O4" i="3"/>
</calcChain>
</file>

<file path=xl/sharedStrings.xml><?xml version="1.0" encoding="utf-8"?>
<sst xmlns="http://schemas.openxmlformats.org/spreadsheetml/2006/main" count="564" uniqueCount="349">
  <si>
    <t>State</t>
  </si>
  <si>
    <t>New York</t>
  </si>
  <si>
    <t>New Jersey</t>
  </si>
  <si>
    <t>Maryland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</si>
  <si>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</si>
  <si>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</si>
  <si>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</si>
  <si>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</si>
  <si>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</si>
  <si>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</si>
  <si>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</si>
  <si>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</si>
  <si>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</si>
  <si>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</si>
  <si>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</si>
  <si>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</si>
  <si>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</si>
  <si>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</si>
  <si>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</si>
  <si>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</si>
  <si>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</si>
  <si>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</si>
  <si>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</si>
  <si>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</si>
  <si>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</si>
  <si>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</si>
  <si>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</si>
  <si>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</si>
  <si>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</si>
  <si>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</si>
  <si>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</si>
  <si>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</si>
  <si>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Mexico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</si>
  <si>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</si>
  <si>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</si>
  <si>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</si>
  <si>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</si>
  <si>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</si>
  <si>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</si>
  <si>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</si>
  <si>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</si>
  <si>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</si>
  <si>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</si>
  <si>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</si>
  <si>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</si>
  <si>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</si>
  <si>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</si>
  <si>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</si>
  <si>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</si>
  <si>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</si>
  <si>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</si>
  <si>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Gas Tax (cents per gallon)</t>
  </si>
  <si>
    <t>Sales tax</t>
  </si>
  <si>
    <t>Income Tax</t>
  </si>
  <si>
    <t>Phone Case Model</t>
  </si>
  <si>
    <t>Order ID</t>
  </si>
  <si>
    <t>Quantity</t>
  </si>
  <si>
    <t>Price per Case</t>
  </si>
  <si>
    <t>Subtotal</t>
  </si>
  <si>
    <t>Customer First Name</t>
  </si>
  <si>
    <t>Customer Last Name</t>
  </si>
  <si>
    <t>Street Address</t>
  </si>
  <si>
    <t>City</t>
  </si>
  <si>
    <t>Google Pixel 7 Case</t>
  </si>
  <si>
    <t>Adam</t>
  </si>
  <si>
    <t>Phillips</t>
  </si>
  <si>
    <t>993 Nathan Ford Apt. 764</t>
  </si>
  <si>
    <t>Davilaland</t>
  </si>
  <si>
    <t>OH</t>
  </si>
  <si>
    <t>Samsung Galaxy S22 Case</t>
  </si>
  <si>
    <t>Lindsey</t>
  </si>
  <si>
    <t>Anderson</t>
  </si>
  <si>
    <t>1300 Kathleen Walk Suite 413</t>
  </si>
  <si>
    <t>New Teresa</t>
  </si>
  <si>
    <t>CT</t>
  </si>
  <si>
    <t>Christopher</t>
  </si>
  <si>
    <t>Sanders</t>
  </si>
  <si>
    <t>3980 May Shores</t>
  </si>
  <si>
    <t>North Matthew</t>
  </si>
  <si>
    <t>ID</t>
  </si>
  <si>
    <t>iPhone 13 Case</t>
  </si>
  <si>
    <t>Jason</t>
  </si>
  <si>
    <t>Wong</t>
  </si>
  <si>
    <t>6018 Elliott Parkway Suite 599</t>
  </si>
  <si>
    <t>Lake Leslietown</t>
  </si>
  <si>
    <t>MS</t>
  </si>
  <si>
    <t>Alex</t>
  </si>
  <si>
    <t>Allen</t>
  </si>
  <si>
    <t>8172 Elizabeth Plains</t>
  </si>
  <si>
    <t>Port Michellemouth</t>
  </si>
  <si>
    <t>NJ</t>
  </si>
  <si>
    <t>Anita</t>
  </si>
  <si>
    <t>Tran</t>
  </si>
  <si>
    <t>975 Christopher Estate Suite 151</t>
  </si>
  <si>
    <t>Jonesshire</t>
  </si>
  <si>
    <t>KY</t>
  </si>
  <si>
    <t>Austin</t>
  </si>
  <si>
    <t>Beasley</t>
  </si>
  <si>
    <t>78607 Castillo Trafficway</t>
  </si>
  <si>
    <t>Port Jenniferfurt</t>
  </si>
  <si>
    <t>VT</t>
  </si>
  <si>
    <t>Nicholas</t>
  </si>
  <si>
    <t>Vazquez</t>
  </si>
  <si>
    <t>693 Morrison Estates Apt. 101</t>
  </si>
  <si>
    <t>Port Megan</t>
  </si>
  <si>
    <t>Jeff</t>
  </si>
  <si>
    <t>Kirby</t>
  </si>
  <si>
    <t>752 Ramirez Knoll</t>
  </si>
  <si>
    <t>Joannaview</t>
  </si>
  <si>
    <t>TN</t>
  </si>
  <si>
    <t>Jasmine</t>
  </si>
  <si>
    <t>Long</t>
  </si>
  <si>
    <t>280 Cox Turnpike</t>
  </si>
  <si>
    <t>South Masonstad</t>
  </si>
  <si>
    <t>UT</t>
  </si>
  <si>
    <t>Kimberly</t>
  </si>
  <si>
    <t>Murray</t>
  </si>
  <si>
    <t>5355 Villanueva Manors Apt. 147</t>
  </si>
  <si>
    <t>Brandonborough</t>
  </si>
  <si>
    <t>Cameron</t>
  </si>
  <si>
    <t>Smith</t>
  </si>
  <si>
    <t>6420 Werner Heights</t>
  </si>
  <si>
    <t>Hernandezbury</t>
  </si>
  <si>
    <t>NM</t>
  </si>
  <si>
    <t>Richard</t>
  </si>
  <si>
    <t>75379 Ruiz Ridge Suite 952</t>
  </si>
  <si>
    <t>New Jamestown</t>
  </si>
  <si>
    <t>MA</t>
  </si>
  <si>
    <t>Christine</t>
  </si>
  <si>
    <t>Hanson</t>
  </si>
  <si>
    <t>125 Chang Locks</t>
  </si>
  <si>
    <t>Davisborough</t>
  </si>
  <si>
    <t>MN</t>
  </si>
  <si>
    <t>OnePlus 11 Case</t>
  </si>
  <si>
    <t>Stephen</t>
  </si>
  <si>
    <t>Bowman</t>
  </si>
  <si>
    <t>22570 Gonzales Mission Apt. 526</t>
  </si>
  <si>
    <t>South Barry</t>
  </si>
  <si>
    <t>IN</t>
  </si>
  <si>
    <t>iPhone 14 Case</t>
  </si>
  <si>
    <t>Lisa</t>
  </si>
  <si>
    <t>Clark</t>
  </si>
  <si>
    <t>4425 Jennifer Roads</t>
  </si>
  <si>
    <t>Hallborough</t>
  </si>
  <si>
    <t>Meagan</t>
  </si>
  <si>
    <t>Figueroa</t>
  </si>
  <si>
    <t>67207 Stewart Skyway</t>
  </si>
  <si>
    <t>Sethville</t>
  </si>
  <si>
    <t>OK</t>
  </si>
  <si>
    <t>Michelle</t>
  </si>
  <si>
    <t>Miller</t>
  </si>
  <si>
    <t>87299 Moore Cliff</t>
  </si>
  <si>
    <t>Lake Julieton</t>
  </si>
  <si>
    <t>NV</t>
  </si>
  <si>
    <t>Gabriel</t>
  </si>
  <si>
    <t>Gonzalez</t>
  </si>
  <si>
    <t>92792 Thomas Spurs Suite 191</t>
  </si>
  <si>
    <t>Smithport</t>
  </si>
  <si>
    <t>Caitlyn</t>
  </si>
  <si>
    <t>Hayes</t>
  </si>
  <si>
    <t>8517 William Port</t>
  </si>
  <si>
    <t>Carrside</t>
  </si>
  <si>
    <t>GA</t>
  </si>
  <si>
    <t>Heather</t>
  </si>
  <si>
    <t>Moreno</t>
  </si>
  <si>
    <t>371 Mary Turnpike</t>
  </si>
  <si>
    <t>Matthewland</t>
  </si>
  <si>
    <t>IA</t>
  </si>
  <si>
    <t>Brittney</t>
  </si>
  <si>
    <t>Carter</t>
  </si>
  <si>
    <t>001 Daniel Terrace</t>
  </si>
  <si>
    <t>East Danielle</t>
  </si>
  <si>
    <t>IL</t>
  </si>
  <si>
    <t>Rachel</t>
  </si>
  <si>
    <t>Johnson</t>
  </si>
  <si>
    <t>91183 Ramirez Coves Apt. 382</t>
  </si>
  <si>
    <t>Brandymouth</t>
  </si>
  <si>
    <t>PA</t>
  </si>
  <si>
    <t>Katherine</t>
  </si>
  <si>
    <t>Myers</t>
  </si>
  <si>
    <t>061 Lisa Drive Apt. 689</t>
  </si>
  <si>
    <t>Port Marissaville</t>
  </si>
  <si>
    <t>Randy</t>
  </si>
  <si>
    <t>West</t>
  </si>
  <si>
    <t>24313 Haas Inlet Suite 762</t>
  </si>
  <si>
    <t>Nicholastown</t>
  </si>
  <si>
    <t>CO</t>
  </si>
  <si>
    <t>Pamela</t>
  </si>
  <si>
    <t>Velasquez</t>
  </si>
  <si>
    <t>178 Kelly Hill Apt. 144</t>
  </si>
  <si>
    <t>Lake Ashleyside</t>
  </si>
  <si>
    <t>ME</t>
  </si>
  <si>
    <t>Sarah</t>
  </si>
  <si>
    <t>Cole</t>
  </si>
  <si>
    <t>5133 Nash Key Suite 601</t>
  </si>
  <si>
    <t>West Matthewbury</t>
  </si>
  <si>
    <t>MT</t>
  </si>
  <si>
    <t>Frank</t>
  </si>
  <si>
    <t>White</t>
  </si>
  <si>
    <t>145 Floyd Hills</t>
  </si>
  <si>
    <t>Port Riley</t>
  </si>
  <si>
    <t>SD</t>
  </si>
  <si>
    <t>Brown</t>
  </si>
  <si>
    <t>178 Thomas Lights Apt. 526</t>
  </si>
  <si>
    <t>Crystalview</t>
  </si>
  <si>
    <t>OR</t>
  </si>
  <si>
    <t>Megan</t>
  </si>
  <si>
    <t>Rivera</t>
  </si>
  <si>
    <t>432 Boyd Lake</t>
  </si>
  <si>
    <t>South David</t>
  </si>
  <si>
    <t>NC</t>
  </si>
  <si>
    <t>David</t>
  </si>
  <si>
    <t>Flores</t>
  </si>
  <si>
    <t>790 James Trail Apt. 467</t>
  </si>
  <si>
    <t>Port Daniel</t>
  </si>
  <si>
    <t>HI</t>
  </si>
  <si>
    <t>Joseph</t>
  </si>
  <si>
    <t>Middleton</t>
  </si>
  <si>
    <t>762 Chase Forges Suite 077</t>
  </si>
  <si>
    <t>North Steven</t>
  </si>
  <si>
    <t>Ashley</t>
  </si>
  <si>
    <t>Gill</t>
  </si>
  <si>
    <t>06942 Haley Parks</t>
  </si>
  <si>
    <t>East Thomas</t>
  </si>
  <si>
    <t>DE</t>
  </si>
  <si>
    <t>Julie</t>
  </si>
  <si>
    <t>Pierce</t>
  </si>
  <si>
    <t>138 Schultz Port Suite 016</t>
  </si>
  <si>
    <t>Lake Michelle</t>
  </si>
  <si>
    <t>Brendan</t>
  </si>
  <si>
    <t>Delacruz</t>
  </si>
  <si>
    <t>9979 Karen Rue</t>
  </si>
  <si>
    <t>Johnsonbury</t>
  </si>
  <si>
    <t>NH</t>
  </si>
  <si>
    <t>Tara</t>
  </si>
  <si>
    <t>Walter</t>
  </si>
  <si>
    <t>40128 Sheena Inlet Apt. 726</t>
  </si>
  <si>
    <t>East Katherineville</t>
  </si>
  <si>
    <t>Cody</t>
  </si>
  <si>
    <t>Clarke</t>
  </si>
  <si>
    <t>7686 Martin Tunnel Suite 071</t>
  </si>
  <si>
    <t>Dodsonmouth</t>
  </si>
  <si>
    <t>MO</t>
  </si>
  <si>
    <t>Marie</t>
  </si>
  <si>
    <t>Garcia</t>
  </si>
  <si>
    <t>9884 Dana Circles</t>
  </si>
  <si>
    <t>North Patrickfort</t>
  </si>
  <si>
    <t>Haley</t>
  </si>
  <si>
    <t>Murphy</t>
  </si>
  <si>
    <t>29161 Foster Lights Suite 867</t>
  </si>
  <si>
    <t>Craneville</t>
  </si>
  <si>
    <t>WI</t>
  </si>
  <si>
    <t>Robert</t>
  </si>
  <si>
    <t>Palmer</t>
  </si>
  <si>
    <t>3345 Desiree Drive Suite 186</t>
  </si>
  <si>
    <t>Haydenmouth</t>
  </si>
  <si>
    <t>Arnold</t>
  </si>
  <si>
    <t>7388 Wiggins Lakes</t>
  </si>
  <si>
    <t>Travismouth</t>
  </si>
  <si>
    <t>Alexander</t>
  </si>
  <si>
    <t>Williams</t>
  </si>
  <si>
    <t>977 Frederick Causeway Apt. 307</t>
  </si>
  <si>
    <t>South Melanie</t>
  </si>
  <si>
    <t>Craig</t>
  </si>
  <si>
    <t>Hill</t>
  </si>
  <si>
    <t>70867 Johnson Crossroad Suite 751</t>
  </si>
  <si>
    <t>Port Melvin</t>
  </si>
  <si>
    <t>VA</t>
  </si>
  <si>
    <t>Andrew</t>
  </si>
  <si>
    <t>Robinson</t>
  </si>
  <si>
    <t>3886 Theodore Orchard</t>
  </si>
  <si>
    <t>Hopkinshaven</t>
  </si>
  <si>
    <t>AZ</t>
  </si>
  <si>
    <t>Michael</t>
  </si>
  <si>
    <t>Ford</t>
  </si>
  <si>
    <t>06312 Castillo Port</t>
  </si>
  <si>
    <t>Hicksside</t>
  </si>
  <si>
    <t>Penny</t>
  </si>
  <si>
    <t>Harris</t>
  </si>
  <si>
    <t>386 Morris Canyon Suite 875</t>
  </si>
  <si>
    <t>Greenfurt</t>
  </si>
  <si>
    <t>John</t>
  </si>
  <si>
    <t>Wright</t>
  </si>
  <si>
    <t>84073 Jerry Dam</t>
  </si>
  <si>
    <t>Lake Deniseport</t>
  </si>
  <si>
    <t>Steve</t>
  </si>
  <si>
    <t>Gutierrez</t>
  </si>
  <si>
    <t>40874 Regina Knoll</t>
  </si>
  <si>
    <t>Port Kelly</t>
  </si>
  <si>
    <t>CA</t>
  </si>
  <si>
    <t>Tyler</t>
  </si>
  <si>
    <t>Coffey</t>
  </si>
  <si>
    <t>9232 Oscar Circle Apt. 073</t>
  </si>
  <si>
    <t>Bakerville</t>
  </si>
  <si>
    <t>Mark</t>
  </si>
  <si>
    <t>Nelson</t>
  </si>
  <si>
    <t>716 David Divide Suite 484</t>
  </si>
  <si>
    <t>Port Sergio</t>
  </si>
  <si>
    <t>RI</t>
  </si>
  <si>
    <t>State Initials</t>
  </si>
  <si>
    <t>AL</t>
  </si>
  <si>
    <t>AK</t>
  </si>
  <si>
    <t>AR</t>
  </si>
  <si>
    <t>FL</t>
  </si>
  <si>
    <t>KS</t>
  </si>
  <si>
    <t>LA</t>
  </si>
  <si>
    <t>MD</t>
  </si>
  <si>
    <t>MI</t>
  </si>
  <si>
    <t>NE</t>
  </si>
  <si>
    <t>NY</t>
  </si>
  <si>
    <t>ND</t>
  </si>
  <si>
    <t>SC</t>
  </si>
  <si>
    <t>TX</t>
  </si>
  <si>
    <t>WA</t>
  </si>
  <si>
    <t>WV</t>
  </si>
  <si>
    <t>WY</t>
  </si>
  <si>
    <t>Sales Tax</t>
  </si>
  <si>
    <t>Total</t>
  </si>
  <si>
    <t>State lookup</t>
  </si>
  <si>
    <t>Shipping</t>
  </si>
  <si>
    <t>Inventory ID</t>
  </si>
  <si>
    <t>Inventory Id</t>
  </si>
  <si>
    <t>Phone case model</t>
  </si>
  <si>
    <t>Average Subtotal</t>
  </si>
  <si>
    <t>How many customers are above average subtotal?</t>
  </si>
  <si>
    <t>Which state has the most orders?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</si>
  <si>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</si>
  <si>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</si>
  <si>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</si>
  <si>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</si>
  <si>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</si>
  <si>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</si>
  <si>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</si>
  <si>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</si>
  <si>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</si>
  <si>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</si>
  <si>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</si>
  <si>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</si>
  <si>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</si>
  <si>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</si>
  <si>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</si>
  <si>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</si>
  <si>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</si>
  <si>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</si>
  <si>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</si>
  <si>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Row Labels</t>
  </si>
  <si>
    <t>Grand Total</t>
  </si>
  <si>
    <t>Count of Column3</t>
  </si>
  <si>
    <t>Minnesota, 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</si>
</sst>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&quot;$&quot;#,##0.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0" fontId="0" fillId="0" borderId="0" xfId="2" applyNumberFormat="1" applyFont="1"/>
    <xf numFmtId="44" fontId="0" fillId="0" borderId="0" xfId="1" applyFo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/>
    <xf numFmtId="44" fontId="0" fillId="0" borderId="0" xfId="0" applyNumberFormat="1"/>
    <xf numFmtId="44" fontId="2" fillId="0" borderId="0" xfId="0" applyNumberFormat="1" applyFont="1"/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166" fontId="0" fillId="0" borderId="0" xfId="0" applyNumberFormat="1" applyAlignment="1"/>
  </cellXfs>
  <cellStyles count="3">
    <cellStyle name="Currency" xfId="1" builtinId="4"/>
    <cellStyle name="Normal" xfId="0" builtinId="0"/>
    <cellStyle name="Percent" xfId="2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[assignment10.xlsx]Charts!PivotTable4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States Total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Charts!$A$4:$A$10</c:f>
              <c:strCache>
                <c:ptCount val="6"/>
                <c:pt idx="0">
                  <c:v>CT</c:v>
                </c:pt>
                <c:pt idx="1">
                  <c:v>MA</c:v>
                </c:pt>
                <c:pt idx="2">
                  <c:v>ME</c:v>
                </c:pt>
                <c:pt idx="3">
                  <c:v>NH</c:v>
                </c:pt>
                <c:pt idx="4">
                  <c:v>NJ</c:v>
                </c:pt>
                <c:pt idx="5">
                  <c:v>PA</c:v>
                </c:pt>
              </c:strCache>
            </c:strRef>
          </c:cat>
          <c:val>
            <c:numRef>
              <c:f>Charts!$B$4:$B$10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A-F442-8C2D-8108C374B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6323439"/>
        <c:axId val="1753402447"/>
      </c:barChart>
      <c:catAx>
        <c:axId val="180632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402447"/>
        <c:crosses val="autoZero"/>
        <c:auto val="1"/>
        <c:lblAlgn val="ctr"/>
        <c:lblOffset val="100"/>
        <c:noMultiLvlLbl val="0"/>
      </c:catAx>
      <c:valAx>
        <c:axId val="175340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32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</xdr:row>
      <xdr:rowOff>0</xdr:rowOff>
    </xdr:from>
    <xdr:to>
      <xdr:col>10</xdr:col>
      <xdr:colOff>0</xdr:colOff>
      <xdr:row>22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39B330-1B14-1C14-3A3A-8B839B74C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Maniscalco" refreshedDate="45770.759595833333" createdVersion="8" refreshedVersion="8" minRefreshableVersion="3" recordCount="51" xr:uid="{460B89F8-B0BC-8D45-8743-B4E0C93D9B84}">
  <cacheSource type="worksheet">
    <worksheetSource name="Table2"/>
  </cacheSource>
  <cacheFields count="19">
    <cacheField name="Column1" numFmtId="0">
      <sharedItems containsMixedTypes="1" containsNumber="1" containsInteger="1" minValue="2305437589" maxValue="23505437598"/>
    </cacheField>
    <cacheField name="Column2" numFmtId="0">
      <sharedItems/>
    </cacheField>
    <cacheField name="Column3" numFmtId="0">
      <sharedItems containsMixedTypes="1" containsNumber="1" containsInteger="1" minValue="1073" maxValue="9829"/>
    </cacheField>
    <cacheField name="Column4" numFmtId="0">
      <sharedItems containsMixedTypes="1" containsNumber="1" containsInteger="1" minValue="1" maxValue="5"/>
    </cacheField>
    <cacheField name="Column5" numFmtId="0">
      <sharedItems containsMixedTypes="1" containsNumber="1" minValue="10.84" maxValue="24.81"/>
    </cacheField>
    <cacheField name="Column6" numFmtId="0">
      <sharedItems containsMixedTypes="1" containsNumber="1" minValue="11.63" maxValue="117.45"/>
    </cacheField>
    <cacheField name="Column7" numFmtId="0">
      <sharedItems/>
    </cacheField>
    <cacheField name="Column8" numFmtId="0">
      <sharedItems/>
    </cacheField>
    <cacheField name="Column9" numFmtId="0">
      <sharedItems/>
    </cacheField>
    <cacheField name="Column10" numFmtId="0">
      <sharedItems count="51">
        <s v="City"/>
        <s v="Davilaland"/>
        <s v="New Teresa"/>
        <s v="North Matthew"/>
        <s v="Lake Leslietown"/>
        <s v="Port Michellemouth"/>
        <s v="Jonesshire"/>
        <s v="Port Jenniferfurt"/>
        <s v="Port Megan"/>
        <s v="Joannaview"/>
        <s v="South Masonstad"/>
        <s v="Brandonborough"/>
        <s v="Hernandezbury"/>
        <s v="New Jamestown"/>
        <s v="Davisborough"/>
        <s v="South Barry"/>
        <s v="Hallborough"/>
        <s v="Sethville"/>
        <s v="Lake Julieton"/>
        <s v="Smithport"/>
        <s v="Carrside"/>
        <s v="Matthewland"/>
        <s v="East Danielle"/>
        <s v="Brandymouth"/>
        <s v="Port Marissaville"/>
        <s v="Nicholastown"/>
        <s v="Lake Ashleyside"/>
        <s v="West Matthewbury"/>
        <s v="Port Riley"/>
        <s v="Crystalview"/>
        <s v="South David"/>
        <s v="Port Daniel"/>
        <s v="North Steven"/>
        <s v="East Thomas"/>
        <s v="Lake Michelle"/>
        <s v="Johnsonbury"/>
        <s v="East Katherineville"/>
        <s v="Dodsonmouth"/>
        <s v="North Patrickfort"/>
        <s v="Craneville"/>
        <s v="Haydenmouth"/>
        <s v="Travismouth"/>
        <s v="South Melanie"/>
        <s v="Port Melvin"/>
        <s v="Hopkinshaven"/>
        <s v="Hicksside"/>
        <s v="Greenfurt"/>
        <s v="Lake Deniseport"/>
        <s v="Port Kelly"/>
        <s v="Bakerville"/>
        <s v="Port Sergio"/>
      </sharedItems>
    </cacheField>
    <cacheField name="Column11" numFmtId="0">
      <sharedItems count="35">
        <s v="State"/>
        <s v="OH"/>
        <s v="CT"/>
        <s v="ID"/>
        <s v="MS"/>
        <s v="NJ"/>
        <s v="KY"/>
        <s v="VT"/>
        <s v="TN"/>
        <s v="UT"/>
        <s v="NM"/>
        <s v="MA"/>
        <s v="MN"/>
        <s v="IN"/>
        <s v="OK"/>
        <s v="NV"/>
        <s v="GA"/>
        <s v="IA"/>
        <s v="IL"/>
        <s v="PA"/>
        <s v="CO"/>
        <s v="ME"/>
        <s v="MT"/>
        <s v="SD"/>
        <s v="OR"/>
        <s v="NC"/>
        <s v="HI"/>
        <s v="DE"/>
        <s v="NH"/>
        <s v="MO"/>
        <s v="WI"/>
        <s v="VA"/>
        <s v="AZ"/>
        <s v="CA"/>
        <s v="RI"/>
      </sharedItems>
    </cacheField>
    <cacheField name="Column12" numFmtId="0">
      <sharedItems/>
    </cacheField>
    <cacheField name="Column13" numFmtId="0">
      <sharedItems containsMixedTypes="1" containsNumber="1" minValue="0" maxValue="7.0000000000000007E-2"/>
    </cacheField>
    <cacheField name="Column14" numFmtId="0">
      <sharedItems containsMixedTypes="1" containsNumber="1" containsInteger="1" minValue="0" maxValue="6"/>
    </cacheField>
    <cacheField name="Column15" numFmtId="0">
      <sharedItems containsMixedTypes="1" containsNumber="1" minValue="18.095199999999998" maxValue="122.4122625"/>
    </cacheField>
    <cacheField name="Column16" numFmtId="0">
      <sharedItems containsNonDate="0" containsString="0" containsBlank="1"/>
    </cacheField>
    <cacheField name="Column17" numFmtId="0">
      <sharedItems containsNonDate="0" containsString="0" containsBlank="1"/>
    </cacheField>
    <cacheField name="Column18" numFmtId="0">
      <sharedItems/>
    </cacheField>
    <cacheField name="Column19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Inventory ID"/>
    <s v="Phone Case Model"/>
    <s v="Order ID"/>
    <s v="Quantity"/>
    <s v="Price per Case"/>
    <s v="Subtotal"/>
    <s v="Customer First Name"/>
    <s v="Customer Last Name"/>
    <s v="Street Address"/>
    <x v="0"/>
    <x v="0"/>
    <s v="State lookup"/>
    <s v="Sales Tax"/>
    <s v="Shipping"/>
    <s v="Total"/>
    <m/>
    <m/>
    <s v="State Initials"/>
    <s v="State"/>
  </r>
  <r>
    <n v="2305437589"/>
    <s v="Google Pixel 7 Case"/>
    <n v="9829"/>
    <n v="1"/>
    <n v="16.16"/>
    <n v="16.16"/>
    <s v="Adam"/>
    <s v="Phillips"/>
    <s v="993 Nathan Ford Apt. 764"/>
    <x v="1"/>
    <x v="1"/>
    <s v="Ohio"/>
    <n v="5.7500000000000002E-2"/>
    <n v="6"/>
    <n v="23.089200000000002"/>
    <m/>
    <m/>
    <s v="AL"/>
    <s v="Alabama"/>
  </r>
  <r>
    <n v="2325437575"/>
    <s v="Samsung Galaxy S22 Case"/>
    <n v="6642"/>
    <n v="2"/>
    <n v="24.81"/>
    <n v="49.62"/>
    <s v="Lindsey"/>
    <s v="Anderson"/>
    <s v="1300 Kathleen Walk Suite 413"/>
    <x v="2"/>
    <x v="2"/>
    <s v="Connecticut"/>
    <n v="6.3500000000000001E-2"/>
    <n v="0"/>
    <n v="52.770869999999995"/>
    <m/>
    <m/>
    <s v="AK"/>
    <s v="Alaska"/>
  </r>
  <r>
    <n v="2305437589"/>
    <s v="Google Pixel 7 Case"/>
    <n v="8801"/>
    <n v="3"/>
    <n v="23.42"/>
    <n v="70.260000000000005"/>
    <s v="Christopher"/>
    <s v="Sanders"/>
    <s v="3980 May Shores"/>
    <x v="3"/>
    <x v="3"/>
    <s v="Idaho"/>
    <n v="0.06"/>
    <n v="0"/>
    <n v="74.4756"/>
    <m/>
    <m/>
    <s v="AZ"/>
    <s v="Arizona"/>
  </r>
  <r>
    <n v="23405437588"/>
    <s v="iPhone 13 Case"/>
    <n v="4920"/>
    <n v="5"/>
    <n v="13.47"/>
    <n v="67.349999999999994"/>
    <s v="Jason"/>
    <s v="Wong"/>
    <s v="6018 Elliott Parkway Suite 599"/>
    <x v="4"/>
    <x v="4"/>
    <s v="Mississippi"/>
    <n v="7.0000000000000007E-2"/>
    <n v="0"/>
    <n v="72.064499999999995"/>
    <m/>
    <m/>
    <s v="AR"/>
    <s v="Arkansas"/>
  </r>
  <r>
    <n v="2325437575"/>
    <s v="Samsung Galaxy S22 Case"/>
    <n v="2855"/>
    <n v="3"/>
    <n v="23.91"/>
    <n v="71.73"/>
    <s v="Alex"/>
    <s v="Allen"/>
    <s v="8172 Elizabeth Plains"/>
    <x v="5"/>
    <x v="5"/>
    <s v="New Jersey"/>
    <n v="6.6250000000000003E-2"/>
    <n v="0"/>
    <n v="76.482112499999999"/>
    <m/>
    <m/>
    <s v="CA"/>
    <s v="California"/>
  </r>
  <r>
    <n v="2305437589"/>
    <s v="Google Pixel 7 Case"/>
    <n v="4562"/>
    <n v="1"/>
    <n v="21.68"/>
    <n v="21.68"/>
    <s v="Anita"/>
    <s v="Tran"/>
    <s v="975 Christopher Estate Suite 151"/>
    <x v="6"/>
    <x v="6"/>
    <s v="Kentucky"/>
    <n v="0.06"/>
    <n v="6"/>
    <n v="28.980799999999999"/>
    <m/>
    <m/>
    <s v="CO"/>
    <s v="Colorado"/>
  </r>
  <r>
    <n v="23405437588"/>
    <s v="iPhone 13 Case"/>
    <n v="1524"/>
    <n v="2"/>
    <n v="11.35"/>
    <n v="22.7"/>
    <s v="Austin"/>
    <s v="Beasley"/>
    <s v="78607 Castillo Trafficway"/>
    <x v="7"/>
    <x v="7"/>
    <s v="Vermont"/>
    <n v="0.06"/>
    <n v="6"/>
    <n v="30.061999999999998"/>
    <m/>
    <m/>
    <s v="CT"/>
    <s v="Connecticut"/>
  </r>
  <r>
    <n v="2325437575"/>
    <s v="Samsung Galaxy S22 Case"/>
    <n v="2994"/>
    <n v="2"/>
    <n v="13.54"/>
    <n v="27.08"/>
    <s v="Nicholas"/>
    <s v="Vazquez"/>
    <s v="693 Morrison Estates Apt. 101"/>
    <x v="8"/>
    <x v="4"/>
    <s v="Mississippi"/>
    <n v="7.0000000000000007E-2"/>
    <n v="6"/>
    <n v="34.9756"/>
    <m/>
    <m/>
    <s v="DE"/>
    <s v="Delaware"/>
  </r>
  <r>
    <n v="2325437575"/>
    <s v="Samsung Galaxy S22 Case"/>
    <n v="7096"/>
    <n v="5"/>
    <n v="14.88"/>
    <n v="74.400000000000006"/>
    <s v="Jeff"/>
    <s v="Kirby"/>
    <s v="752 Ramirez Knoll"/>
    <x v="9"/>
    <x v="8"/>
    <s v="Tennessee"/>
    <n v="7.0000000000000007E-2"/>
    <n v="0"/>
    <n v="79.608000000000004"/>
    <m/>
    <m/>
    <s v="FL"/>
    <s v="Florida"/>
  </r>
  <r>
    <n v="23405437588"/>
    <s v="iPhone 13 Case"/>
    <n v="7388"/>
    <n v="1"/>
    <n v="15.63"/>
    <n v="15.63"/>
    <s v="Jasmine"/>
    <s v="Long"/>
    <s v="280 Cox Turnpike"/>
    <x v="10"/>
    <x v="9"/>
    <s v="Utah"/>
    <n v="4.8499999999999995E-2"/>
    <n v="6"/>
    <n v="22.388055000000001"/>
    <m/>
    <m/>
    <s v="GA"/>
    <s v="Georgia"/>
  </r>
  <r>
    <n v="23405437588"/>
    <s v="iPhone 13 Case"/>
    <n v="8427"/>
    <n v="5"/>
    <n v="10.84"/>
    <n v="54.2"/>
    <s v="Kimberly"/>
    <s v="Murray"/>
    <s v="5355 Villanueva Manors Apt. 147"/>
    <x v="11"/>
    <x v="8"/>
    <s v="Tennessee"/>
    <n v="7.0000000000000007E-2"/>
    <n v="0"/>
    <n v="57.994"/>
    <m/>
    <m/>
    <s v="HI"/>
    <s v="Hawaii"/>
  </r>
  <r>
    <n v="23405437588"/>
    <s v="iPhone 13 Case"/>
    <n v="4290"/>
    <n v="5"/>
    <n v="20.7"/>
    <n v="103.5"/>
    <s v="Cameron"/>
    <s v="Smith"/>
    <s v="6420 Werner Heights"/>
    <x v="12"/>
    <x v="10"/>
    <s v="New Mexico"/>
    <n v="4.8750000000000002E-2"/>
    <n v="0"/>
    <n v="108.545625"/>
    <m/>
    <m/>
    <s v="ID"/>
    <s v="Idaho"/>
  </r>
  <r>
    <n v="23405437588"/>
    <s v="iPhone 13 Case"/>
    <n v="2203"/>
    <n v="3"/>
    <n v="22.18"/>
    <n v="66.540000000000006"/>
    <s v="Richard"/>
    <s v="Smith"/>
    <s v="75379 Ruiz Ridge Suite 952"/>
    <x v="13"/>
    <x v="11"/>
    <s v="Massachusetts"/>
    <n v="6.25E-2"/>
    <n v="0"/>
    <n v="70.698750000000004"/>
    <m/>
    <m/>
    <s v="IL"/>
    <s v="Illinois"/>
  </r>
  <r>
    <n v="2305437589"/>
    <s v="Google Pixel 7 Case"/>
    <n v="8401"/>
    <n v="2"/>
    <n v="17.57"/>
    <n v="35.14"/>
    <s v="Christine"/>
    <s v="Hanson"/>
    <s v="125 Chang Locks"/>
    <x v="14"/>
    <x v="12"/>
    <s v="Minnesota"/>
    <n v="6.8750000000000006E-2"/>
    <n v="0"/>
    <n v="37.555875"/>
    <m/>
    <m/>
    <s v="IN"/>
    <s v="Indiana"/>
  </r>
  <r>
    <n v="23505437598"/>
    <s v="OnePlus 11 Case"/>
    <n v="4055"/>
    <n v="1"/>
    <n v="21.66"/>
    <n v="21.66"/>
    <s v="Stephen"/>
    <s v="Bowman"/>
    <s v="22570 Gonzales Mission Apt. 526"/>
    <x v="15"/>
    <x v="13"/>
    <s v="Indiana"/>
    <n v="7.0000000000000007E-2"/>
    <n v="6"/>
    <n v="29.176200000000001"/>
    <m/>
    <m/>
    <s v="IA"/>
    <s v="Iowa"/>
  </r>
  <r>
    <n v="21298732309"/>
    <s v="iPhone 14 Case"/>
    <n v="4384"/>
    <n v="3"/>
    <n v="19.52"/>
    <n v="58.56"/>
    <s v="Lisa"/>
    <s v="Clark"/>
    <s v="4425 Jennifer Roads"/>
    <x v="16"/>
    <x v="13"/>
    <s v="Indiana"/>
    <n v="7.0000000000000007E-2"/>
    <n v="0"/>
    <n v="62.659200000000006"/>
    <m/>
    <m/>
    <s v="KS"/>
    <s v="Kansas"/>
  </r>
  <r>
    <n v="2325437575"/>
    <s v="Samsung Galaxy S22 Case"/>
    <n v="3965"/>
    <n v="3"/>
    <n v="22.57"/>
    <n v="67.709999999999994"/>
    <s v="Meagan"/>
    <s v="Figueroa"/>
    <s v="67207 Stewart Skyway"/>
    <x v="17"/>
    <x v="14"/>
    <s v="Oklahoma"/>
    <n v="4.4999999999999998E-2"/>
    <n v="0"/>
    <n v="70.756949999999989"/>
    <m/>
    <m/>
    <s v="KY"/>
    <s v="Kentucky"/>
  </r>
  <r>
    <n v="2325437575"/>
    <s v="Samsung Galaxy S22 Case"/>
    <n v="8497"/>
    <n v="1"/>
    <n v="13.2"/>
    <n v="13.2"/>
    <s v="Michelle"/>
    <s v="Miller"/>
    <s v="87299 Moore Cliff"/>
    <x v="18"/>
    <x v="15"/>
    <s v="Nevada"/>
    <n v="4.5999999999999999E-2"/>
    <n v="6"/>
    <n v="19.807200000000002"/>
    <m/>
    <m/>
    <s v="LA"/>
    <s v="Louisiana"/>
  </r>
  <r>
    <n v="2325437575"/>
    <s v="Samsung Galaxy S22 Case"/>
    <n v="3994"/>
    <n v="2"/>
    <n v="18.41"/>
    <n v="36.82"/>
    <s v="Gabriel"/>
    <s v="Gonzalez"/>
    <s v="92792 Thomas Spurs Suite 191"/>
    <x v="19"/>
    <x v="12"/>
    <s v="Minnesota"/>
    <n v="6.8750000000000006E-2"/>
    <n v="0"/>
    <n v="39.351374999999997"/>
    <m/>
    <m/>
    <s v="ME"/>
    <s v="Maine"/>
  </r>
  <r>
    <n v="21298732309"/>
    <s v="iPhone 14 Case"/>
    <n v="6014"/>
    <n v="4"/>
    <n v="21.76"/>
    <n v="87.04"/>
    <s v="Caitlyn"/>
    <s v="Hayes"/>
    <s v="8517 William Port"/>
    <x v="20"/>
    <x v="16"/>
    <s v="Georgia"/>
    <n v="0.04"/>
    <n v="0"/>
    <n v="90.521600000000007"/>
    <m/>
    <m/>
    <s v="MD"/>
    <s v="Maryland"/>
  </r>
  <r>
    <n v="2305437589"/>
    <s v="Google Pixel 7 Case"/>
    <n v="4304"/>
    <n v="2"/>
    <n v="22.34"/>
    <n v="44.68"/>
    <s v="Heather"/>
    <s v="Moreno"/>
    <s v="371 Mary Turnpike"/>
    <x v="21"/>
    <x v="17"/>
    <s v="Iowa"/>
    <n v="0.06"/>
    <n v="0"/>
    <n v="47.360799999999998"/>
    <m/>
    <m/>
    <s v="MA"/>
    <s v="Massachusetts"/>
  </r>
  <r>
    <n v="23405437588"/>
    <s v="iPhone 13 Case"/>
    <n v="2795"/>
    <n v="3"/>
    <n v="16.11"/>
    <n v="48.33"/>
    <s v="Brittney"/>
    <s v="Carter"/>
    <s v="001 Daniel Terrace"/>
    <x v="22"/>
    <x v="18"/>
    <s v="Illinois"/>
    <n v="6.25E-2"/>
    <n v="0"/>
    <n v="51.350625000000001"/>
    <m/>
    <m/>
    <s v="MI"/>
    <s v="Michigan"/>
  </r>
  <r>
    <n v="21298732309"/>
    <s v="iPhone 14 Case"/>
    <n v="5293"/>
    <n v="4"/>
    <n v="15.02"/>
    <n v="60.08"/>
    <s v="Rachel"/>
    <s v="Johnson"/>
    <s v="91183 Ramirez Coves Apt. 382"/>
    <x v="23"/>
    <x v="19"/>
    <s v="Pennsylvania"/>
    <n v="0.06"/>
    <n v="0"/>
    <n v="63.684799999999996"/>
    <m/>
    <m/>
    <s v="MN"/>
    <s v="Minnesota"/>
  </r>
  <r>
    <n v="23405437588"/>
    <s v="iPhone 13 Case"/>
    <n v="5964"/>
    <n v="2"/>
    <n v="21.71"/>
    <n v="43.42"/>
    <s v="Katherine"/>
    <s v="Myers"/>
    <s v="061 Lisa Drive Apt. 689"/>
    <x v="24"/>
    <x v="12"/>
    <s v="Minnesota"/>
    <n v="6.8750000000000006E-2"/>
    <n v="0"/>
    <n v="46.405125000000005"/>
    <m/>
    <m/>
    <s v="MS"/>
    <s v="Mississippi"/>
  </r>
  <r>
    <n v="2325437575"/>
    <s v="Samsung Galaxy S22 Case"/>
    <n v="1819"/>
    <n v="2"/>
    <n v="13.94"/>
    <n v="27.88"/>
    <s v="Randy"/>
    <s v="West"/>
    <s v="24313 Haas Inlet Suite 762"/>
    <x v="25"/>
    <x v="20"/>
    <s v="Colorado"/>
    <n v="2.8999999999999998E-2"/>
    <n v="6"/>
    <n v="34.688519999999997"/>
    <m/>
    <m/>
    <s v="MO"/>
    <s v="Missouri"/>
  </r>
  <r>
    <n v="23405437588"/>
    <s v="iPhone 13 Case"/>
    <n v="4105"/>
    <n v="1"/>
    <n v="21.12"/>
    <n v="21.12"/>
    <s v="Pamela"/>
    <s v="Velasquez"/>
    <s v="178 Kelly Hill Apt. 144"/>
    <x v="26"/>
    <x v="21"/>
    <s v="Maine"/>
    <n v="5.5E-2"/>
    <n v="6"/>
    <n v="28.281600000000001"/>
    <m/>
    <m/>
    <s v="MT"/>
    <s v="Montana"/>
  </r>
  <r>
    <n v="2325437575"/>
    <s v="Samsung Galaxy S22 Case"/>
    <n v="9321"/>
    <n v="3"/>
    <n v="18.68"/>
    <n v="56.04"/>
    <s v="Sarah"/>
    <s v="Cole"/>
    <s v="5133 Nash Key Suite 601"/>
    <x v="27"/>
    <x v="22"/>
    <s v="Montana"/>
    <n v="0"/>
    <n v="0"/>
    <n v="56.04"/>
    <m/>
    <m/>
    <s v="NE"/>
    <s v="Nebraska"/>
  </r>
  <r>
    <n v="2305437589"/>
    <s v="Google Pixel 7 Case"/>
    <n v="4117"/>
    <n v="5"/>
    <n v="11.84"/>
    <n v="59.2"/>
    <s v="Frank"/>
    <s v="White"/>
    <s v="145 Floyd Hills"/>
    <x v="28"/>
    <x v="23"/>
    <s v="South Dakota"/>
    <n v="4.2000000000000003E-2"/>
    <n v="0"/>
    <n v="61.686400000000006"/>
    <m/>
    <m/>
    <s v="NV"/>
    <s v="Nevada"/>
  </r>
  <r>
    <n v="21298732309"/>
    <s v="iPhone 14 Case"/>
    <n v="3861"/>
    <n v="5"/>
    <n v="22.14"/>
    <n v="110.7"/>
    <s v="Lisa"/>
    <s v="Brown"/>
    <s v="178 Thomas Lights Apt. 526"/>
    <x v="29"/>
    <x v="24"/>
    <s v="Oregon"/>
    <n v="0"/>
    <n v="0"/>
    <n v="110.7"/>
    <m/>
    <m/>
    <s v="NH"/>
    <s v="New Hampshire"/>
  </r>
  <r>
    <n v="2305437589"/>
    <s v="Google Pixel 7 Case"/>
    <n v="3094"/>
    <n v="1"/>
    <n v="21.22"/>
    <n v="21.22"/>
    <s v="Megan"/>
    <s v="Rivera"/>
    <s v="432 Boyd Lake"/>
    <x v="30"/>
    <x v="25"/>
    <s v="North Carolina"/>
    <n v="4.7500000000000001E-2"/>
    <n v="6"/>
    <n v="28.22795"/>
    <m/>
    <m/>
    <s v="NJ"/>
    <s v="New Jersey"/>
  </r>
  <r>
    <n v="23505437598"/>
    <s v="OnePlus 11 Case"/>
    <n v="4293"/>
    <n v="5"/>
    <n v="10.84"/>
    <n v="54.2"/>
    <s v="David"/>
    <s v="Flores"/>
    <s v="790 James Trail Apt. 467"/>
    <x v="31"/>
    <x v="26"/>
    <s v="Hawaii"/>
    <n v="0.04"/>
    <n v="0"/>
    <n v="56.368000000000002"/>
    <m/>
    <m/>
    <s v="NM"/>
    <s v="New Mexico"/>
  </r>
  <r>
    <n v="21298732309"/>
    <s v="iPhone 14 Case"/>
    <n v="9727"/>
    <n v="2"/>
    <n v="24.72"/>
    <n v="49.44"/>
    <s v="Joseph"/>
    <s v="Middleton"/>
    <s v="762 Chase Forges Suite 077"/>
    <x v="32"/>
    <x v="20"/>
    <s v="Colorado"/>
    <n v="2.8999999999999998E-2"/>
    <n v="0"/>
    <n v="50.873759999999997"/>
    <m/>
    <m/>
    <s v="NY"/>
    <s v="New York"/>
  </r>
  <r>
    <n v="21298732309"/>
    <s v="iPhone 14 Case"/>
    <n v="6628"/>
    <n v="5"/>
    <n v="13.1"/>
    <n v="65.5"/>
    <s v="Ashley"/>
    <s v="Gill"/>
    <s v="06942 Haley Parks"/>
    <x v="33"/>
    <x v="27"/>
    <s v="Delaware"/>
    <n v="0"/>
    <n v="0"/>
    <n v="65.5"/>
    <m/>
    <m/>
    <s v="NC"/>
    <s v="North Carolina"/>
  </r>
  <r>
    <n v="23505437598"/>
    <s v="OnePlus 11 Case"/>
    <n v="3594"/>
    <n v="2"/>
    <n v="15.91"/>
    <n v="31.82"/>
    <s v="Julie"/>
    <s v="Pierce"/>
    <s v="138 Schultz Port Suite 016"/>
    <x v="34"/>
    <x v="8"/>
    <s v="Tennessee"/>
    <n v="7.0000000000000007E-2"/>
    <n v="6"/>
    <n v="40.047400000000003"/>
    <m/>
    <m/>
    <s v="ND"/>
    <s v="North Dakota"/>
  </r>
  <r>
    <n v="21298732309"/>
    <s v="iPhone 14 Case"/>
    <n v="4342"/>
    <n v="2"/>
    <n v="15.7"/>
    <n v="31.4"/>
    <s v="Brendan"/>
    <s v="Delacruz"/>
    <s v="9979 Karen Rue"/>
    <x v="35"/>
    <x v="28"/>
    <s v="New Hampshire"/>
    <n v="0"/>
    <n v="6"/>
    <n v="37.4"/>
    <m/>
    <m/>
    <s v="OH"/>
    <s v="Ohio"/>
  </r>
  <r>
    <n v="21298732309"/>
    <s v="iPhone 14 Case"/>
    <n v="8227"/>
    <n v="5"/>
    <n v="11.35"/>
    <n v="56.75"/>
    <s v="Tara"/>
    <s v="Walter"/>
    <s v="40128 Sheena Inlet Apt. 726"/>
    <x v="36"/>
    <x v="16"/>
    <s v="Georgia"/>
    <n v="0.04"/>
    <n v="0"/>
    <n v="59.02"/>
    <m/>
    <m/>
    <s v="OK"/>
    <s v="Oklahoma"/>
  </r>
  <r>
    <n v="2305437589"/>
    <s v="Google Pixel 7 Case"/>
    <n v="3423"/>
    <n v="5"/>
    <n v="23.49"/>
    <n v="117.45"/>
    <s v="Cody"/>
    <s v="Clarke"/>
    <s v="7686 Martin Tunnel Suite 071"/>
    <x v="37"/>
    <x v="29"/>
    <s v="Missouri"/>
    <n v="4.2249999999999996E-2"/>
    <n v="0"/>
    <n v="122.4122625"/>
    <m/>
    <m/>
    <s v="OR"/>
    <s v="Oregon"/>
  </r>
  <r>
    <n v="23405437588"/>
    <s v="iPhone 13 Case"/>
    <n v="1078"/>
    <n v="4"/>
    <n v="19.09"/>
    <n v="76.36"/>
    <s v="Marie"/>
    <s v="Garcia"/>
    <s v="9884 Dana Circles"/>
    <x v="38"/>
    <x v="14"/>
    <s v="Oklahoma"/>
    <n v="4.4999999999999998E-2"/>
    <n v="0"/>
    <n v="79.796199999999999"/>
    <m/>
    <m/>
    <s v="PA"/>
    <s v="Pennsylvania"/>
  </r>
  <r>
    <n v="2325437575"/>
    <s v="Samsung Galaxy S22 Case"/>
    <n v="3622"/>
    <n v="3"/>
    <n v="20.059999999999999"/>
    <n v="60.18"/>
    <s v="Haley"/>
    <s v="Murphy"/>
    <s v="29161 Foster Lights Suite 867"/>
    <x v="39"/>
    <x v="30"/>
    <s v="Wisconsin"/>
    <n v="0.05"/>
    <n v="0"/>
    <n v="63.189"/>
    <m/>
    <m/>
    <s v="RI"/>
    <s v="Rhode Island"/>
  </r>
  <r>
    <n v="2325437575"/>
    <s v="Samsung Galaxy S22 Case"/>
    <n v="1073"/>
    <n v="1"/>
    <n v="11.63"/>
    <n v="11.63"/>
    <s v="Robert"/>
    <s v="Palmer"/>
    <s v="3345 Desiree Drive Suite 186"/>
    <x v="40"/>
    <x v="26"/>
    <s v="Hawaii"/>
    <n v="0.04"/>
    <n v="6"/>
    <n v="18.095199999999998"/>
    <m/>
    <m/>
    <s v="SC"/>
    <s v="South Carolina"/>
  </r>
  <r>
    <n v="2305437589"/>
    <s v="Google Pixel 7 Case"/>
    <n v="9676"/>
    <n v="4"/>
    <n v="21.7"/>
    <n v="86.8"/>
    <s v="Richard"/>
    <s v="Arnold"/>
    <s v="7388 Wiggins Lakes"/>
    <x v="41"/>
    <x v="7"/>
    <s v="Vermont"/>
    <n v="0.06"/>
    <n v="0"/>
    <n v="92.007999999999996"/>
    <m/>
    <m/>
    <s v="SD"/>
    <s v="South Dakota"/>
  </r>
  <r>
    <n v="21298732309"/>
    <s v="iPhone 14 Case"/>
    <n v="5896"/>
    <n v="5"/>
    <n v="22.54"/>
    <n v="112.7"/>
    <s v="Alexander"/>
    <s v="Williams"/>
    <s v="977 Frederick Causeway Apt. 307"/>
    <x v="42"/>
    <x v="18"/>
    <s v="Illinois"/>
    <n v="6.25E-2"/>
    <n v="0"/>
    <n v="119.74375000000001"/>
    <m/>
    <m/>
    <s v="TN"/>
    <s v="Tennessee"/>
  </r>
  <r>
    <n v="2325437575"/>
    <s v="Samsung Galaxy S22 Case"/>
    <n v="7155"/>
    <n v="4"/>
    <n v="15.27"/>
    <n v="61.08"/>
    <s v="Craig"/>
    <s v="Hill"/>
    <s v="70867 Johnson Crossroad Suite 751"/>
    <x v="43"/>
    <x v="31"/>
    <s v="Virginia"/>
    <n v="4.2999999999999997E-2"/>
    <n v="0"/>
    <n v="63.706440000000001"/>
    <m/>
    <m/>
    <s v="TX"/>
    <s v="Texas"/>
  </r>
  <r>
    <n v="23405437588"/>
    <s v="iPhone 13 Case"/>
    <n v="5438"/>
    <n v="5"/>
    <n v="21.91"/>
    <n v="109.55"/>
    <s v="Andrew"/>
    <s v="Robinson"/>
    <s v="3886 Theodore Orchard"/>
    <x v="44"/>
    <x v="32"/>
    <s v="Arizona"/>
    <n v="5.5999999999999994E-2"/>
    <n v="0"/>
    <n v="115.6848"/>
    <m/>
    <m/>
    <s v="UT"/>
    <s v="Utah"/>
  </r>
  <r>
    <n v="2325437575"/>
    <s v="Samsung Galaxy S22 Case"/>
    <n v="7316"/>
    <n v="5"/>
    <n v="22.16"/>
    <n v="110.8"/>
    <s v="Michael"/>
    <s v="Ford"/>
    <s v="06312 Castillo Port"/>
    <x v="45"/>
    <x v="32"/>
    <s v="Arizona"/>
    <n v="5.5999999999999994E-2"/>
    <n v="0"/>
    <n v="117.00479999999999"/>
    <m/>
    <m/>
    <s v="VT"/>
    <s v="Vermont"/>
  </r>
  <r>
    <n v="2325437575"/>
    <s v="Samsung Galaxy S22 Case"/>
    <n v="9651"/>
    <n v="1"/>
    <n v="15.85"/>
    <n v="15.85"/>
    <s v="Penny"/>
    <s v="Harris"/>
    <s v="386 Morris Canyon Suite 875"/>
    <x v="46"/>
    <x v="28"/>
    <s v="New Hampshire"/>
    <n v="0"/>
    <n v="6"/>
    <n v="21.85"/>
    <m/>
    <m/>
    <s v="VA"/>
    <s v="Virginia"/>
  </r>
  <r>
    <n v="23505437598"/>
    <s v="OnePlus 11 Case"/>
    <n v="1930"/>
    <n v="3"/>
    <n v="21.65"/>
    <n v="64.95"/>
    <s v="John"/>
    <s v="Wright"/>
    <s v="84073 Jerry Dam"/>
    <x v="47"/>
    <x v="17"/>
    <s v="Iowa"/>
    <n v="0.06"/>
    <n v="0"/>
    <n v="68.847000000000008"/>
    <m/>
    <m/>
    <s v="WA"/>
    <s v="Washington"/>
  </r>
  <r>
    <n v="21298732309"/>
    <s v="iPhone 14 Case"/>
    <n v="8186"/>
    <n v="2"/>
    <n v="13.92"/>
    <n v="27.84"/>
    <s v="Steve"/>
    <s v="Gutierrez"/>
    <s v="40874 Regina Knoll"/>
    <x v="48"/>
    <x v="33"/>
    <s v="California"/>
    <n v="0.06"/>
    <n v="6"/>
    <n v="35.510400000000004"/>
    <m/>
    <m/>
    <s v="WV"/>
    <s v="West Virginia"/>
  </r>
  <r>
    <n v="23505437598"/>
    <s v="OnePlus 11 Case"/>
    <n v="9656"/>
    <n v="4"/>
    <n v="13.51"/>
    <n v="54.04"/>
    <s v="Tyler"/>
    <s v="Coffey"/>
    <s v="9232 Oscar Circle Apt. 073"/>
    <x v="49"/>
    <x v="31"/>
    <s v="Virginia"/>
    <n v="4.2999999999999997E-2"/>
    <n v="0"/>
    <n v="56.363720000000001"/>
    <m/>
    <m/>
    <s v="WI"/>
    <s v="Wisconsin"/>
  </r>
  <r>
    <n v="2325437575"/>
    <s v="Samsung Galaxy S22 Case"/>
    <n v="5074"/>
    <n v="3"/>
    <n v="20.14"/>
    <n v="60.42"/>
    <s v="Mark"/>
    <s v="Nelson"/>
    <s v="716 David Divide Suite 484"/>
    <x v="50"/>
    <x v="34"/>
    <s v="Rhode Island"/>
    <n v="7.0000000000000007E-2"/>
    <n v="0"/>
    <n v="64.6494"/>
    <m/>
    <m/>
    <s v="WY"/>
    <s v="Wyom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CBD49-6FBD-1048-A688-E6B75AAA4285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9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">
        <item h="1" x="32"/>
        <item h="1" x="33"/>
        <item h="1" x="20"/>
        <item x="2"/>
        <item h="1" x="27"/>
        <item h="1" x="16"/>
        <item h="1" x="26"/>
        <item h="1" x="17"/>
        <item h="1" x="3"/>
        <item h="1" x="18"/>
        <item h="1" x="13"/>
        <item h="1" x="6"/>
        <item x="11"/>
        <item x="21"/>
        <item h="1" x="12"/>
        <item h="1" x="29"/>
        <item h="1" x="4"/>
        <item h="1" x="22"/>
        <item h="1" x="25"/>
        <item x="28"/>
        <item x="5"/>
        <item h="1" x="10"/>
        <item h="1" x="15"/>
        <item h="1" x="1"/>
        <item h="1" x="14"/>
        <item h="1" x="24"/>
        <item x="19"/>
        <item h="1" x="34"/>
        <item h="1" x="23"/>
        <item h="1" x="0"/>
        <item h="1" x="8"/>
        <item h="1" x="9"/>
        <item h="1" x="31"/>
        <item h="1" x="7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7">
    <i>
      <x v="3"/>
    </i>
    <i>
      <x v="12"/>
    </i>
    <i>
      <x v="13"/>
    </i>
    <i>
      <x v="19"/>
    </i>
    <i>
      <x v="20"/>
    </i>
    <i>
      <x v="26"/>
    </i>
    <i t="grand">
      <x/>
    </i>
  </rowItems>
  <colItems count="1">
    <i/>
  </colItems>
  <dataFields count="1">
    <dataField name="Count of Column3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82E258-0B47-764A-9B58-2899221D953B}" name="Table2" displayName="Table2" ref="A1:S53" totalsRowCount="1">
  <autoFilter ref="A1:S52" xr:uid="{4182E258-0B47-764A-9B58-2899221D953B}"/>
  <tableColumns count="19">
    <tableColumn id="1" xr3:uid="{AFF433A6-92C2-E34F-965C-120E66273BC0}" name="Column1" totalsRowLabel="Total"/>
    <tableColumn id="2" xr3:uid="{A5963B09-06E4-EB4E-B5F2-42DF163B4511}" name="Column2">
      <calculatedColumnFormula>VLOOKUP(A2, $V$2:$W$6, 2, FALSE)</calculatedColumnFormula>
    </tableColumn>
    <tableColumn id="3" xr3:uid="{8463052E-A75B-D34D-999D-2502B290F577}" name="Column3"/>
    <tableColumn id="4" xr3:uid="{242992A5-ACD8-3D4B-8B0D-0672D3F2626B}" name="Column4"/>
    <tableColumn id="5" xr3:uid="{3A4C8C81-79FF-5242-8BF8-FF12E72BC670}" name="Column5" totalsRowFunction="average" dataDxfId="8" totalsRowDxfId="3" dataCellStyle="Currency"/>
    <tableColumn id="6" xr3:uid="{7ED6ED20-DB7A-A74A-B9DA-D375328E5CE0}" name="Column6" totalsRowFunction="average" dataDxfId="7" totalsRowDxfId="2" dataCellStyle="Currency"/>
    <tableColumn id="7" xr3:uid="{2650071A-FCC5-B549-B3F2-576D9FCD2EA0}" name="Column7"/>
    <tableColumn id="8" xr3:uid="{62119432-1EF7-5544-9EFA-FA8FC800D08E}" name="Column8"/>
    <tableColumn id="9" xr3:uid="{5F01A055-3D72-D54E-8AC1-8CE2C391EFC2}" name="Column9"/>
    <tableColumn id="10" xr3:uid="{2AE00E19-9F60-D64C-A8CE-FFE8D7008ADB}" name="Column10"/>
    <tableColumn id="11" xr3:uid="{21C52747-3662-BA40-BE48-AF6F8456EBC9}" name="Column11"/>
    <tableColumn id="12" xr3:uid="{E5B02424-4664-FD4E-AF20-A3BF0D1A1776}" name="Column12">
      <calculatedColumnFormula>VLOOKUP(K2, $R$3:$S$52, 2, FALSE)</calculatedColumnFormula>
    </tableColumn>
    <tableColumn id="13" xr3:uid="{FD3BE651-81CF-BF49-885B-2E6FE41ECE9C}" name="Column13">
      <calculatedColumnFormula>VLOOKUP(L2, Taxes!$A$2:$D$51, 3, FALSE)</calculatedColumnFormula>
    </tableColumn>
    <tableColumn id="14" xr3:uid="{50BED5E2-26A6-A04A-8A82-18FC3F8F3ED1}" name="Column14">
      <calculatedColumnFormula>IF(F2&gt;35, 0, 6)</calculatedColumnFormula>
    </tableColumn>
    <tableColumn id="15" xr3:uid="{03A18FDA-78EA-8548-B3F2-35A004D53322}" name="Column15" dataDxfId="6">
      <calculatedColumnFormula>SUM(Orders!F2+(Orders!M2*Orders!F2)+Orders!N2)</calculatedColumnFormula>
    </tableColumn>
    <tableColumn id="16" xr3:uid="{37A87020-AA0E-8047-A74E-8697A272AFE8}" name="Column16"/>
    <tableColumn id="17" xr3:uid="{6D19F85B-11F3-644C-80E2-3A749411F236}" name="Column17"/>
    <tableColumn id="18" xr3:uid="{83E0A12F-6952-4144-9CA6-3A61BE5440E8}" name="Column18" dataDxfId="5" totalsRowDxfId="1"/>
    <tableColumn id="19" xr3:uid="{CFE24B4B-8C7F-BF44-9AFC-B2E0CBED31DB}" name="Column19" totalsRowFunction="count" dataDxfId="4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C5D9-6784-46C2-99AC-71FCFF832736}">
  <sheetPr codeName="Sheet1"/>
  <dimension ref="A1:H51"/>
  <sheetViews>
    <sheetView workbookViewId="0">
      <selection activeCell="O12" sqref="O12"/>
    </sheetView>
  </sheetViews>
  <sheetFormatPr baseColWidth="10" defaultColWidth="8.83203125" defaultRowHeight="13" x14ac:dyDescent="0.15"/>
  <cols>
    <col min="1" max="1" width="15.33203125" bestFit="1" customWidth="1"/>
    <col min="2" max="2" width="13.1640625" customWidth="1"/>
    <col min="7" max="7" width="9.33203125" customWidth="1"/>
    <col min="8" max="8" width="16.1640625" customWidth="1"/>
  </cols>
  <sheetData>
    <row r="1" spans="1:8" s="3" customFormat="1" ht="53.25" customHeight="1" x14ac:dyDescent="0.15">
      <c r="A1" s="1" t="s">
        <v>0</v>
      </c>
      <c r="B1" s="1" t="s">
        <v>51</v>
      </c>
      <c r="C1" s="2" t="s">
        <v>52</v>
      </c>
      <c r="D1" s="2" t="s">
        <v>53</v>
      </c>
      <c r="G1" s="7" t="s">
        <v>299</v>
      </c>
      <c r="H1" s="7" t="s">
        <v>0</v>
      </c>
    </row>
    <row r="2" spans="1:8" ht="14" x14ac:dyDescent="0.15">
      <c r="A2" t="s">
        <v>4</v>
      </c>
      <c r="B2">
        <v>28.84</v>
      </c>
      <c r="C2" s="4">
        <v>0.04</v>
      </c>
      <c r="D2" s="4">
        <v>0.05</v>
      </c>
      <c r="G2" s="8" t="s">
        <v>300</v>
      </c>
      <c r="H2" s="8" t="s">
        <v>4</v>
      </c>
    </row>
    <row r="3" spans="1:8" ht="14" x14ac:dyDescent="0.15">
      <c r="A3" t="s">
        <v>5</v>
      </c>
      <c r="B3">
        <v>9.9499999999999993</v>
      </c>
      <c r="C3" s="4">
        <v>0</v>
      </c>
      <c r="D3" s="4">
        <v>0</v>
      </c>
      <c r="G3" s="8" t="s">
        <v>301</v>
      </c>
      <c r="H3" s="8" t="s">
        <v>5</v>
      </c>
    </row>
    <row r="4" spans="1:8" ht="14" x14ac:dyDescent="0.15">
      <c r="A4" t="s">
        <v>6</v>
      </c>
      <c r="B4">
        <v>18</v>
      </c>
      <c r="C4" s="4">
        <v>5.5999999999999994E-2</v>
      </c>
      <c r="D4" s="4">
        <v>2.5000000000000001E-2</v>
      </c>
      <c r="G4" s="8" t="s">
        <v>272</v>
      </c>
      <c r="H4" s="8" t="s">
        <v>6</v>
      </c>
    </row>
    <row r="5" spans="1:8" ht="14" x14ac:dyDescent="0.15">
      <c r="A5" t="s">
        <v>7</v>
      </c>
      <c r="B5">
        <v>24.8</v>
      </c>
      <c r="C5" s="4">
        <v>6.5000000000000002E-2</v>
      </c>
      <c r="D5" s="4">
        <v>4.4000000000000004E-2</v>
      </c>
      <c r="G5" s="8" t="s">
        <v>302</v>
      </c>
      <c r="H5" s="8" t="s">
        <v>7</v>
      </c>
    </row>
    <row r="6" spans="1:8" ht="14" x14ac:dyDescent="0.15">
      <c r="A6" t="s">
        <v>8</v>
      </c>
      <c r="B6">
        <v>51.1</v>
      </c>
      <c r="C6" s="4">
        <v>0.06</v>
      </c>
      <c r="D6" s="4">
        <v>0.13300000000000001</v>
      </c>
      <c r="G6" s="8" t="s">
        <v>289</v>
      </c>
      <c r="H6" s="8" t="s">
        <v>8</v>
      </c>
    </row>
    <row r="7" spans="1:8" ht="14" x14ac:dyDescent="0.15">
      <c r="A7" t="s">
        <v>9</v>
      </c>
      <c r="B7">
        <v>22</v>
      </c>
      <c r="C7" s="4">
        <v>2.8999999999999998E-2</v>
      </c>
      <c r="D7" s="4">
        <v>4.5499999999999999E-2</v>
      </c>
      <c r="G7" s="8" t="s">
        <v>186</v>
      </c>
      <c r="H7" s="8" t="s">
        <v>9</v>
      </c>
    </row>
    <row r="8" spans="1:8" ht="18" customHeight="1" x14ac:dyDescent="0.15">
      <c r="A8" t="s">
        <v>10</v>
      </c>
      <c r="B8">
        <v>37.4</v>
      </c>
      <c r="C8" s="4">
        <v>6.3500000000000001E-2</v>
      </c>
      <c r="D8" s="4">
        <v>6.9900000000000004E-2</v>
      </c>
      <c r="G8" s="8" t="s">
        <v>74</v>
      </c>
      <c r="H8" s="8" t="s">
        <v>10</v>
      </c>
    </row>
    <row r="9" spans="1:8" ht="14" x14ac:dyDescent="0.15">
      <c r="A9" t="s">
        <v>11</v>
      </c>
      <c r="B9">
        <v>23</v>
      </c>
      <c r="C9" s="4">
        <v>0</v>
      </c>
      <c r="D9" s="4">
        <v>0</v>
      </c>
      <c r="G9" s="8" t="s">
        <v>224</v>
      </c>
      <c r="H9" s="8" t="s">
        <v>11</v>
      </c>
    </row>
    <row r="10" spans="1:8" ht="14" x14ac:dyDescent="0.15">
      <c r="A10" t="s">
        <v>12</v>
      </c>
      <c r="B10">
        <v>19</v>
      </c>
      <c r="C10" s="4">
        <v>0.06</v>
      </c>
      <c r="D10" s="4">
        <v>0</v>
      </c>
      <c r="G10" s="8" t="s">
        <v>303</v>
      </c>
      <c r="H10" s="8" t="s">
        <v>12</v>
      </c>
    </row>
    <row r="11" spans="1:8" ht="14" x14ac:dyDescent="0.15">
      <c r="A11" t="s">
        <v>13</v>
      </c>
      <c r="B11">
        <v>31.1</v>
      </c>
      <c r="C11" s="4">
        <v>0.04</v>
      </c>
      <c r="D11" s="4">
        <v>5.4900000000000004E-2</v>
      </c>
      <c r="G11" s="8" t="s">
        <v>162</v>
      </c>
      <c r="H11" s="8" t="s">
        <v>13</v>
      </c>
    </row>
    <row r="12" spans="1:8" ht="14" x14ac:dyDescent="0.15">
      <c r="A12" t="s">
        <v>14</v>
      </c>
      <c r="B12">
        <v>16</v>
      </c>
      <c r="C12" s="4">
        <v>0.04</v>
      </c>
      <c r="D12" s="4">
        <v>0.11</v>
      </c>
      <c r="G12" s="8" t="s">
        <v>215</v>
      </c>
      <c r="H12" s="8" t="s">
        <v>14</v>
      </c>
    </row>
    <row r="13" spans="1:8" ht="14" x14ac:dyDescent="0.15">
      <c r="A13" t="s">
        <v>15</v>
      </c>
      <c r="B13">
        <v>33</v>
      </c>
      <c r="C13" s="4">
        <v>0.06</v>
      </c>
      <c r="D13" s="4">
        <v>0.06</v>
      </c>
      <c r="G13" s="8" t="s">
        <v>79</v>
      </c>
      <c r="H13" s="8" t="s">
        <v>15</v>
      </c>
    </row>
    <row r="14" spans="1:8" ht="14" x14ac:dyDescent="0.15">
      <c r="A14" t="s">
        <v>16</v>
      </c>
      <c r="B14">
        <v>38.700000000000003</v>
      </c>
      <c r="C14" s="4">
        <v>6.25E-2</v>
      </c>
      <c r="D14" s="4">
        <v>4.9500000000000002E-2</v>
      </c>
      <c r="G14" s="8" t="s">
        <v>172</v>
      </c>
      <c r="H14" s="8" t="s">
        <v>16</v>
      </c>
    </row>
    <row r="15" spans="1:8" ht="14" x14ac:dyDescent="0.15">
      <c r="A15" t="s">
        <v>17</v>
      </c>
      <c r="B15">
        <v>33</v>
      </c>
      <c r="C15" s="4">
        <v>7.0000000000000007E-2</v>
      </c>
      <c r="D15" s="4">
        <v>3.0499999999999999E-2</v>
      </c>
      <c r="G15" s="8" t="s">
        <v>138</v>
      </c>
      <c r="H15" s="8" t="s">
        <v>17</v>
      </c>
    </row>
    <row r="16" spans="1:8" ht="14" x14ac:dyDescent="0.15">
      <c r="A16" t="s">
        <v>18</v>
      </c>
      <c r="B16">
        <v>30.6</v>
      </c>
      <c r="C16" s="4">
        <v>0.06</v>
      </c>
      <c r="D16" s="4">
        <v>5.7000000000000002E-2</v>
      </c>
      <c r="G16" s="8" t="s">
        <v>167</v>
      </c>
      <c r="H16" s="8" t="s">
        <v>18</v>
      </c>
    </row>
    <row r="17" spans="1:8" ht="14" x14ac:dyDescent="0.15">
      <c r="A17" t="s">
        <v>19</v>
      </c>
      <c r="B17">
        <v>24</v>
      </c>
      <c r="C17" s="4">
        <v>6.5000000000000002E-2</v>
      </c>
      <c r="D17" s="4">
        <v>5.7000000000000002E-2</v>
      </c>
      <c r="G17" s="8" t="s">
        <v>304</v>
      </c>
      <c r="H17" s="8" t="s">
        <v>19</v>
      </c>
    </row>
    <row r="18" spans="1:8" ht="14" x14ac:dyDescent="0.15">
      <c r="A18" t="s">
        <v>20</v>
      </c>
      <c r="B18">
        <v>26</v>
      </c>
      <c r="C18" s="4">
        <v>0.06</v>
      </c>
      <c r="D18" s="4">
        <v>0.04</v>
      </c>
      <c r="G18" s="8" t="s">
        <v>95</v>
      </c>
      <c r="H18" s="8" t="s">
        <v>20</v>
      </c>
    </row>
    <row r="19" spans="1:8" ht="14" x14ac:dyDescent="0.15">
      <c r="A19" t="s">
        <v>21</v>
      </c>
      <c r="B19">
        <v>20</v>
      </c>
      <c r="C19" s="4">
        <v>4.4500000000000005E-2</v>
      </c>
      <c r="D19" s="4">
        <v>4.2500000000000003E-2</v>
      </c>
      <c r="G19" s="8" t="s">
        <v>305</v>
      </c>
      <c r="H19" s="8" t="s">
        <v>21</v>
      </c>
    </row>
    <row r="20" spans="1:8" ht="14" x14ac:dyDescent="0.15">
      <c r="A20" t="s">
        <v>22</v>
      </c>
      <c r="B20">
        <v>30.01</v>
      </c>
      <c r="C20" s="4">
        <v>5.5E-2</v>
      </c>
      <c r="D20" s="4">
        <v>7.1500000000000008E-2</v>
      </c>
      <c r="G20" s="8" t="s">
        <v>191</v>
      </c>
      <c r="H20" s="8" t="s">
        <v>22</v>
      </c>
    </row>
    <row r="21" spans="1:8" ht="14" x14ac:dyDescent="0.15">
      <c r="A21" t="s">
        <v>3</v>
      </c>
      <c r="B21">
        <v>36.1</v>
      </c>
      <c r="C21" s="4">
        <v>0.06</v>
      </c>
      <c r="D21" s="4">
        <v>5.7500000000000002E-2</v>
      </c>
      <c r="G21" s="8" t="s">
        <v>306</v>
      </c>
      <c r="H21" s="8" t="s">
        <v>3</v>
      </c>
    </row>
    <row r="22" spans="1:8" ht="15" customHeight="1" x14ac:dyDescent="0.15">
      <c r="A22" t="s">
        <v>23</v>
      </c>
      <c r="B22">
        <v>24</v>
      </c>
      <c r="C22" s="4">
        <v>6.25E-2</v>
      </c>
      <c r="D22" s="4">
        <v>0.09</v>
      </c>
      <c r="G22" s="8" t="s">
        <v>127</v>
      </c>
      <c r="H22" s="8" t="s">
        <v>23</v>
      </c>
    </row>
    <row r="23" spans="1:8" ht="14" x14ac:dyDescent="0.15">
      <c r="A23" t="s">
        <v>24</v>
      </c>
      <c r="B23">
        <v>27.2</v>
      </c>
      <c r="C23" s="4">
        <v>0.06</v>
      </c>
      <c r="D23" s="4">
        <v>4.2500000000000003E-2</v>
      </c>
      <c r="G23" s="8" t="s">
        <v>307</v>
      </c>
      <c r="H23" s="8" t="s">
        <v>24</v>
      </c>
    </row>
    <row r="24" spans="1:8" ht="16.5" customHeight="1" x14ac:dyDescent="0.15">
      <c r="A24" t="s">
        <v>25</v>
      </c>
      <c r="B24">
        <v>28.5</v>
      </c>
      <c r="C24" s="4">
        <v>6.8750000000000006E-2</v>
      </c>
      <c r="D24" s="4">
        <v>9.849999999999999E-2</v>
      </c>
      <c r="G24" s="8" t="s">
        <v>132</v>
      </c>
      <c r="H24" s="8" t="s">
        <v>25</v>
      </c>
    </row>
    <row r="25" spans="1:8" ht="14.25" customHeight="1" x14ac:dyDescent="0.15">
      <c r="A25" t="s">
        <v>26</v>
      </c>
      <c r="B25">
        <v>18</v>
      </c>
      <c r="C25" s="4">
        <v>7.0000000000000007E-2</v>
      </c>
      <c r="D25" s="4">
        <v>0.05</v>
      </c>
      <c r="G25" s="8" t="s">
        <v>85</v>
      </c>
      <c r="H25" s="8" t="s">
        <v>26</v>
      </c>
    </row>
    <row r="26" spans="1:8" ht="14" x14ac:dyDescent="0.15">
      <c r="A26" t="s">
        <v>27</v>
      </c>
      <c r="B26">
        <v>17</v>
      </c>
      <c r="C26" s="4">
        <v>4.2249999999999996E-2</v>
      </c>
      <c r="D26" s="4">
        <v>4.9500000000000002E-2</v>
      </c>
      <c r="G26" s="8" t="s">
        <v>242</v>
      </c>
      <c r="H26" s="8" t="s">
        <v>27</v>
      </c>
    </row>
    <row r="27" spans="1:8" ht="14" x14ac:dyDescent="0.15">
      <c r="A27" t="s">
        <v>28</v>
      </c>
      <c r="B27">
        <v>32</v>
      </c>
      <c r="C27" s="4">
        <v>0</v>
      </c>
      <c r="D27" s="4">
        <v>0</v>
      </c>
      <c r="G27" s="8" t="s">
        <v>196</v>
      </c>
      <c r="H27" s="8" t="s">
        <v>28</v>
      </c>
    </row>
    <row r="28" spans="1:8" ht="14" x14ac:dyDescent="0.15">
      <c r="A28" t="s">
        <v>29</v>
      </c>
      <c r="B28">
        <v>33.200000000000003</v>
      </c>
      <c r="C28" s="4">
        <v>5.5E-2</v>
      </c>
      <c r="D28" s="4">
        <v>6.6400000000000001E-2</v>
      </c>
      <c r="G28" s="8" t="s">
        <v>308</v>
      </c>
      <c r="H28" s="8" t="s">
        <v>29</v>
      </c>
    </row>
    <row r="29" spans="1:8" ht="14" x14ac:dyDescent="0.15">
      <c r="A29" t="s">
        <v>30</v>
      </c>
      <c r="B29">
        <v>23</v>
      </c>
      <c r="C29" s="4">
        <v>4.5999999999999999E-2</v>
      </c>
      <c r="D29" s="4">
        <v>0</v>
      </c>
      <c r="G29" s="8" t="s">
        <v>153</v>
      </c>
      <c r="H29" s="8" t="s">
        <v>30</v>
      </c>
    </row>
    <row r="30" spans="1:8" ht="16.5" customHeight="1" x14ac:dyDescent="0.15">
      <c r="A30" t="s">
        <v>31</v>
      </c>
      <c r="B30">
        <v>23.83</v>
      </c>
      <c r="C30" s="4">
        <v>0</v>
      </c>
      <c r="D30" s="4">
        <v>0</v>
      </c>
      <c r="G30" s="8" t="s">
        <v>233</v>
      </c>
      <c r="H30" s="8" t="s">
        <v>31</v>
      </c>
    </row>
    <row r="31" spans="1:8" ht="17.25" customHeight="1" x14ac:dyDescent="0.15">
      <c r="A31" t="s">
        <v>2</v>
      </c>
      <c r="B31">
        <v>41.4</v>
      </c>
      <c r="C31" s="4">
        <v>6.6250000000000003E-2</v>
      </c>
      <c r="D31" s="4">
        <v>0.1075</v>
      </c>
      <c r="G31" s="8" t="s">
        <v>90</v>
      </c>
      <c r="H31" s="8" t="s">
        <v>2</v>
      </c>
    </row>
    <row r="32" spans="1:8" ht="18" customHeight="1" x14ac:dyDescent="0.15">
      <c r="A32" t="s">
        <v>32</v>
      </c>
      <c r="B32">
        <v>17</v>
      </c>
      <c r="C32" s="4">
        <v>4.8750000000000002E-2</v>
      </c>
      <c r="D32" s="4">
        <v>5.9000000000000004E-2</v>
      </c>
      <c r="G32" s="8" t="s">
        <v>123</v>
      </c>
      <c r="H32" s="8" t="s">
        <v>32</v>
      </c>
    </row>
    <row r="33" spans="1:8" ht="14" x14ac:dyDescent="0.15">
      <c r="A33" t="s">
        <v>1</v>
      </c>
      <c r="B33">
        <v>46.2</v>
      </c>
      <c r="C33" s="4">
        <v>0.04</v>
      </c>
      <c r="D33" s="4">
        <v>8.8200000000000001E-2</v>
      </c>
      <c r="G33" s="8" t="s">
        <v>309</v>
      </c>
      <c r="H33" s="8" t="s">
        <v>1</v>
      </c>
    </row>
    <row r="34" spans="1:8" ht="15.75" customHeight="1" x14ac:dyDescent="0.15">
      <c r="A34" t="s">
        <v>33</v>
      </c>
      <c r="B34">
        <v>36.1</v>
      </c>
      <c r="C34" s="4">
        <v>4.7500000000000001E-2</v>
      </c>
      <c r="D34" s="4">
        <v>4.7500000000000001E-2</v>
      </c>
      <c r="G34" s="8" t="s">
        <v>210</v>
      </c>
      <c r="H34" s="8" t="s">
        <v>33</v>
      </c>
    </row>
    <row r="35" spans="1:8" ht="18" customHeight="1" x14ac:dyDescent="0.15">
      <c r="A35" t="s">
        <v>34</v>
      </c>
      <c r="B35">
        <v>23</v>
      </c>
      <c r="C35" s="4">
        <v>0.05</v>
      </c>
      <c r="D35" s="4">
        <v>2.8999999999999998E-2</v>
      </c>
      <c r="G35" s="8" t="s">
        <v>310</v>
      </c>
      <c r="H35" s="8" t="s">
        <v>34</v>
      </c>
    </row>
    <row r="36" spans="1:8" ht="14" x14ac:dyDescent="0.15">
      <c r="A36" t="s">
        <v>35</v>
      </c>
      <c r="B36">
        <v>38.51</v>
      </c>
      <c r="C36" s="4">
        <v>5.7500000000000002E-2</v>
      </c>
      <c r="D36" s="4">
        <v>3.9900000000000005E-2</v>
      </c>
      <c r="G36" s="8" t="s">
        <v>68</v>
      </c>
      <c r="H36" s="8" t="s">
        <v>35</v>
      </c>
    </row>
    <row r="37" spans="1:8" ht="15" customHeight="1" x14ac:dyDescent="0.15">
      <c r="A37" t="s">
        <v>36</v>
      </c>
      <c r="B37">
        <v>19</v>
      </c>
      <c r="C37" s="4">
        <v>4.4999999999999998E-2</v>
      </c>
      <c r="D37" s="4">
        <v>4.7500000000000001E-2</v>
      </c>
      <c r="G37" s="8" t="s">
        <v>148</v>
      </c>
      <c r="H37" s="8" t="s">
        <v>36</v>
      </c>
    </row>
    <row r="38" spans="1:8" ht="14" x14ac:dyDescent="0.15">
      <c r="A38" t="s">
        <v>37</v>
      </c>
      <c r="B38">
        <v>38</v>
      </c>
      <c r="C38" s="4">
        <v>0</v>
      </c>
      <c r="D38" s="4">
        <v>0</v>
      </c>
      <c r="G38" s="8" t="s">
        <v>205</v>
      </c>
      <c r="H38" s="8" t="s">
        <v>37</v>
      </c>
    </row>
    <row r="39" spans="1:8" ht="20.25" customHeight="1" x14ac:dyDescent="0.15">
      <c r="A39" t="s">
        <v>38</v>
      </c>
      <c r="B39">
        <v>61.1</v>
      </c>
      <c r="C39" s="4">
        <v>0.06</v>
      </c>
      <c r="D39" s="4">
        <v>3.0699999999999998E-2</v>
      </c>
      <c r="G39" s="8" t="s">
        <v>177</v>
      </c>
      <c r="H39" s="8" t="s">
        <v>38</v>
      </c>
    </row>
    <row r="40" spans="1:8" ht="19.5" customHeight="1" x14ac:dyDescent="0.15">
      <c r="A40" t="s">
        <v>39</v>
      </c>
      <c r="B40">
        <v>35</v>
      </c>
      <c r="C40" s="4">
        <v>7.0000000000000007E-2</v>
      </c>
      <c r="D40" s="4">
        <v>0.06</v>
      </c>
      <c r="G40" s="8" t="s">
        <v>298</v>
      </c>
      <c r="H40" s="8" t="s">
        <v>39</v>
      </c>
    </row>
    <row r="41" spans="1:8" ht="20.25" customHeight="1" x14ac:dyDescent="0.15">
      <c r="A41" t="s">
        <v>40</v>
      </c>
      <c r="B41">
        <v>26</v>
      </c>
      <c r="C41" s="4">
        <v>0.06</v>
      </c>
      <c r="D41" s="4">
        <v>7.0000000000000007E-2</v>
      </c>
      <c r="G41" s="8" t="s">
        <v>311</v>
      </c>
      <c r="H41" s="8" t="s">
        <v>40</v>
      </c>
    </row>
    <row r="42" spans="1:8" ht="21.75" customHeight="1" x14ac:dyDescent="0.15">
      <c r="A42" t="s">
        <v>41</v>
      </c>
      <c r="B42">
        <v>28</v>
      </c>
      <c r="C42" s="4">
        <v>4.2000000000000003E-2</v>
      </c>
      <c r="D42" s="4">
        <v>0</v>
      </c>
      <c r="G42" s="8" t="s">
        <v>201</v>
      </c>
      <c r="H42" s="8" t="s">
        <v>41</v>
      </c>
    </row>
    <row r="43" spans="1:8" ht="18.75" customHeight="1" x14ac:dyDescent="0.15">
      <c r="A43" t="s">
        <v>42</v>
      </c>
      <c r="B43">
        <v>26</v>
      </c>
      <c r="C43" s="4">
        <v>7.0000000000000007E-2</v>
      </c>
      <c r="D43" s="4">
        <v>0</v>
      </c>
      <c r="G43" s="8" t="s">
        <v>109</v>
      </c>
      <c r="H43" s="8" t="s">
        <v>42</v>
      </c>
    </row>
    <row r="44" spans="1:8" ht="14" x14ac:dyDescent="0.15">
      <c r="A44" t="s">
        <v>43</v>
      </c>
      <c r="B44">
        <v>20</v>
      </c>
      <c r="C44" s="4">
        <v>6.25E-2</v>
      </c>
      <c r="D44" s="4">
        <v>0</v>
      </c>
      <c r="G44" s="8" t="s">
        <v>312</v>
      </c>
      <c r="H44" s="8" t="s">
        <v>43</v>
      </c>
    </row>
    <row r="45" spans="1:8" ht="14" x14ac:dyDescent="0.15">
      <c r="A45" t="s">
        <v>44</v>
      </c>
      <c r="B45">
        <v>36</v>
      </c>
      <c r="C45" s="4">
        <v>4.8499999999999995E-2</v>
      </c>
      <c r="D45" s="4">
        <v>4.8499999999999995E-2</v>
      </c>
      <c r="G45" s="8" t="s">
        <v>114</v>
      </c>
      <c r="H45" s="8" t="s">
        <v>44</v>
      </c>
    </row>
    <row r="46" spans="1:8" ht="14" x14ac:dyDescent="0.15">
      <c r="A46" t="s">
        <v>45</v>
      </c>
      <c r="B46">
        <v>32</v>
      </c>
      <c r="C46" s="4">
        <v>0.06</v>
      </c>
      <c r="D46" s="4">
        <v>9.4E-2</v>
      </c>
      <c r="G46" s="8" t="s">
        <v>100</v>
      </c>
      <c r="H46" s="8" t="s">
        <v>45</v>
      </c>
    </row>
    <row r="47" spans="1:8" ht="14" x14ac:dyDescent="0.15">
      <c r="A47" t="s">
        <v>46</v>
      </c>
      <c r="B47">
        <v>22.4</v>
      </c>
      <c r="C47" s="4">
        <v>4.2999999999999997E-2</v>
      </c>
      <c r="D47" s="4">
        <v>5.7500000000000002E-2</v>
      </c>
      <c r="G47" s="8" t="s">
        <v>267</v>
      </c>
      <c r="H47" s="8" t="s">
        <v>46</v>
      </c>
    </row>
    <row r="48" spans="1:8" ht="16.5" customHeight="1" x14ac:dyDescent="0.15">
      <c r="A48" t="s">
        <v>47</v>
      </c>
      <c r="B48">
        <v>49.4</v>
      </c>
      <c r="C48" s="4">
        <v>6.5000000000000002E-2</v>
      </c>
      <c r="D48" s="4">
        <v>0</v>
      </c>
      <c r="G48" s="8" t="s">
        <v>313</v>
      </c>
      <c r="H48" s="8" t="s">
        <v>47</v>
      </c>
    </row>
    <row r="49" spans="1:8" ht="18" customHeight="1" x14ac:dyDescent="0.15">
      <c r="A49" t="s">
        <v>48</v>
      </c>
      <c r="B49">
        <v>35.700000000000003</v>
      </c>
      <c r="C49" s="4">
        <v>0.06</v>
      </c>
      <c r="D49" s="4">
        <v>6.5000000000000002E-2</v>
      </c>
      <c r="G49" s="8" t="s">
        <v>314</v>
      </c>
      <c r="H49" s="8" t="s">
        <v>48</v>
      </c>
    </row>
    <row r="50" spans="1:8" ht="15" customHeight="1" x14ac:dyDescent="0.15">
      <c r="A50" t="s">
        <v>49</v>
      </c>
      <c r="B50">
        <v>32.9</v>
      </c>
      <c r="C50" s="4">
        <v>0.05</v>
      </c>
      <c r="D50" s="4">
        <v>7.6499999999999999E-2</v>
      </c>
      <c r="G50" s="8" t="s">
        <v>251</v>
      </c>
      <c r="H50" s="8" t="s">
        <v>49</v>
      </c>
    </row>
    <row r="51" spans="1:8" ht="14" x14ac:dyDescent="0.15">
      <c r="A51" t="s">
        <v>50</v>
      </c>
      <c r="B51">
        <v>24</v>
      </c>
      <c r="C51" s="4">
        <v>0.04</v>
      </c>
      <c r="D51" s="4">
        <v>0.04</v>
      </c>
      <c r="G51" s="8" t="s">
        <v>315</v>
      </c>
      <c r="H51" s="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B2D5-763E-4A52-A2F1-D45F09CBB16A}">
  <dimension ref="A1:W61"/>
  <sheetViews>
    <sheetView tabSelected="1" topLeftCell="A30" zoomScale="75" zoomScaleNormal="55" workbookViewId="0">
      <selection activeCell="G61" sqref="G61"/>
    </sheetView>
  </sheetViews>
  <sheetFormatPr baseColWidth="10" defaultColWidth="8.83203125" defaultRowHeight="13" x14ac:dyDescent="0.15"/>
  <cols>
    <col min="1" max="1" width="15.1640625" customWidth="1"/>
    <col min="2" max="2" width="29" customWidth="1"/>
    <col min="3" max="4" width="10" customWidth="1"/>
    <col min="5" max="5" width="13.6640625" bestFit="1" customWidth="1"/>
    <col min="6" max="6" width="10" customWidth="1"/>
    <col min="7" max="7" width="19.83203125" bestFit="1" customWidth="1"/>
    <col min="8" max="8" width="19.5" bestFit="1" customWidth="1"/>
    <col min="9" max="9" width="32" bestFit="1" customWidth="1"/>
    <col min="10" max="10" width="19" bestFit="1" customWidth="1"/>
    <col min="11" max="11" width="10.83203125" customWidth="1"/>
    <col min="12" max="12" width="12.5" customWidth="1"/>
    <col min="13" max="15" width="10.83203125" customWidth="1"/>
    <col min="16" max="19" width="12.5" customWidth="1"/>
    <col min="22" max="22" width="16.83203125" customWidth="1"/>
    <col min="23" max="23" width="24.5" bestFit="1" customWidth="1"/>
  </cols>
  <sheetData>
    <row r="1" spans="1:23" ht="15" x14ac:dyDescent="0.15">
      <c r="A1" s="9" t="s">
        <v>326</v>
      </c>
      <c r="B1" s="10" t="s">
        <v>327</v>
      </c>
      <c r="C1" s="10" t="s">
        <v>328</v>
      </c>
      <c r="D1" s="10" t="s">
        <v>329</v>
      </c>
      <c r="E1" s="10" t="s">
        <v>330</v>
      </c>
      <c r="F1" s="10" t="s">
        <v>331</v>
      </c>
      <c r="G1" s="10" t="s">
        <v>332</v>
      </c>
      <c r="H1" s="10" t="s">
        <v>333</v>
      </c>
      <c r="I1" s="10" t="s">
        <v>334</v>
      </c>
      <c r="J1" s="10" t="s">
        <v>335</v>
      </c>
      <c r="K1" s="10" t="s">
        <v>336</v>
      </c>
      <c r="L1" s="11" t="s">
        <v>337</v>
      </c>
      <c r="M1" s="11" t="s">
        <v>338</v>
      </c>
      <c r="N1" s="11" t="s">
        <v>339</v>
      </c>
      <c r="O1" s="11" t="s">
        <v>340</v>
      </c>
      <c r="P1" t="s">
        <v>341</v>
      </c>
      <c r="Q1" t="s">
        <v>342</v>
      </c>
      <c r="R1" s="7" t="s">
        <v>343</v>
      </c>
      <c r="S1" s="7" t="s">
        <v>344</v>
      </c>
      <c r="V1" s="12" t="s">
        <v>321</v>
      </c>
      <c r="W1" s="12" t="s">
        <v>322</v>
      </c>
    </row>
    <row r="2" spans="1:23" ht="28" x14ac:dyDescent="0.15">
      <c r="A2" s="9" t="s">
        <v>320</v>
      </c>
      <c r="B2" s="10" t="s">
        <v>54</v>
      </c>
      <c r="C2" s="10" t="s">
        <v>55</v>
      </c>
      <c r="D2" s="10" t="s">
        <v>56</v>
      </c>
      <c r="E2" s="10" t="s">
        <v>57</v>
      </c>
      <c r="F2" s="10" t="s">
        <v>58</v>
      </c>
      <c r="G2" s="10" t="s">
        <v>59</v>
      </c>
      <c r="H2" s="10" t="s">
        <v>60</v>
      </c>
      <c r="I2" s="10" t="s">
        <v>61</v>
      </c>
      <c r="J2" s="10" t="s">
        <v>62</v>
      </c>
      <c r="K2" s="10" t="s">
        <v>0</v>
      </c>
      <c r="L2" s="11" t="s">
        <v>318</v>
      </c>
      <c r="M2" s="11" t="s">
        <v>316</v>
      </c>
      <c r="N2" s="11" t="s">
        <v>319</v>
      </c>
      <c r="O2" s="11" t="s">
        <v>317</v>
      </c>
      <c r="R2" s="7" t="s">
        <v>299</v>
      </c>
      <c r="S2" s="7" t="s">
        <v>0</v>
      </c>
      <c r="V2">
        <v>2305437589</v>
      </c>
      <c r="W2" t="s">
        <v>63</v>
      </c>
    </row>
    <row r="3" spans="1:23" ht="14" x14ac:dyDescent="0.15">
      <c r="A3">
        <v>2305437589</v>
      </c>
      <c r="B3" t="str">
        <f>VLOOKUP(A3, $V$2:$W$6, 2, FALSE)</f>
        <v>Google Pixel 7 Case</v>
      </c>
      <c r="C3">
        <v>9829</v>
      </c>
      <c r="D3">
        <v>1</v>
      </c>
      <c r="E3" s="5">
        <v>16.16</v>
      </c>
      <c r="F3" s="5">
        <v>16.16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tr">
        <f>VLOOKUP(K3, $R$3:$S$52, 2, FALSE)</f>
        <v>Ohio</v>
      </c>
      <c r="M3">
        <f>VLOOKUP(L3, Taxes!$A$2:$D$51, 3, FALSE)</f>
        <v>5.7500000000000002E-2</v>
      </c>
      <c r="N3">
        <f>IF(F3&gt;35, 0, 6)</f>
        <v>6</v>
      </c>
      <c r="O3" s="13">
        <f>SUM(Orders!F3+(Orders!M3*Orders!F3)+Orders!N3)</f>
        <v>23.089200000000002</v>
      </c>
      <c r="R3" s="8" t="s">
        <v>300</v>
      </c>
      <c r="S3" s="8" t="s">
        <v>4</v>
      </c>
      <c r="V3">
        <v>2325437575</v>
      </c>
      <c r="W3" s="12" t="s">
        <v>69</v>
      </c>
    </row>
    <row r="4" spans="1:23" ht="14" x14ac:dyDescent="0.15">
      <c r="A4">
        <v>2325437575</v>
      </c>
      <c r="B4" t="str">
        <f t="shared" ref="B4:B52" si="0">VLOOKUP(A4, $V$2:$W$6, 2, FALSE)</f>
        <v>Samsung Galaxy S22 Case</v>
      </c>
      <c r="C4">
        <v>6642</v>
      </c>
      <c r="D4">
        <v>2</v>
      </c>
      <c r="E4" s="5">
        <v>24.81</v>
      </c>
      <c r="F4" s="5">
        <v>49.62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tr">
        <f>VLOOKUP(K4, $R$3:$S$52, 2, FALSE)</f>
        <v>Connecticut</v>
      </c>
      <c r="M4">
        <f>VLOOKUP(L4, Taxes!$A$2:$D$51, 3, FALSE)</f>
        <v>6.3500000000000001E-2</v>
      </c>
      <c r="N4">
        <f t="shared" ref="N4:N52" si="1">IF(F4&gt;35, 0, 6)</f>
        <v>0</v>
      </c>
      <c r="O4" s="13">
        <f>SUM(Orders!F4+(Orders!M4*Orders!F4)+Orders!N4)</f>
        <v>52.770869999999995</v>
      </c>
      <c r="R4" s="8" t="s">
        <v>301</v>
      </c>
      <c r="S4" s="8" t="s">
        <v>5</v>
      </c>
      <c r="V4">
        <v>23405437588</v>
      </c>
      <c r="W4" s="12" t="s">
        <v>80</v>
      </c>
    </row>
    <row r="5" spans="1:23" ht="14" x14ac:dyDescent="0.15">
      <c r="A5">
        <v>2305437589</v>
      </c>
      <c r="B5" t="str">
        <f t="shared" si="0"/>
        <v>Google Pixel 7 Case</v>
      </c>
      <c r="C5">
        <v>8801</v>
      </c>
      <c r="D5">
        <v>3</v>
      </c>
      <c r="E5" s="5">
        <v>23.42</v>
      </c>
      <c r="F5" s="5">
        <v>70.260000000000005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tr">
        <f>VLOOKUP(K5, $R$3:$S$52, 2, FALSE)</f>
        <v>Idaho</v>
      </c>
      <c r="M5">
        <f>VLOOKUP(L5, Taxes!$A$2:$D$51, 3, FALSE)</f>
        <v>0.06</v>
      </c>
      <c r="N5">
        <f t="shared" si="1"/>
        <v>0</v>
      </c>
      <c r="O5" s="13">
        <f>SUM(Orders!F5+(Orders!M5*Orders!F5)+Orders!N5)</f>
        <v>74.4756</v>
      </c>
      <c r="R5" s="8" t="s">
        <v>272</v>
      </c>
      <c r="S5" s="8" t="s">
        <v>6</v>
      </c>
      <c r="V5">
        <v>23505437598</v>
      </c>
      <c r="W5" s="12" t="s">
        <v>133</v>
      </c>
    </row>
    <row r="6" spans="1:23" ht="14" x14ac:dyDescent="0.15">
      <c r="A6">
        <v>23405437588</v>
      </c>
      <c r="B6" t="str">
        <f t="shared" si="0"/>
        <v>iPhone 13 Case</v>
      </c>
      <c r="C6">
        <v>4920</v>
      </c>
      <c r="D6">
        <v>5</v>
      </c>
      <c r="E6" s="5">
        <v>13.47</v>
      </c>
      <c r="F6" s="5">
        <v>67.349999999999994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tr">
        <f>VLOOKUP(K6, $R$3:$S$52, 2, FALSE)</f>
        <v>Mississippi</v>
      </c>
      <c r="M6">
        <f>VLOOKUP(L6, Taxes!$A$2:$D$51, 3, FALSE)</f>
        <v>7.0000000000000007E-2</v>
      </c>
      <c r="N6">
        <f t="shared" si="1"/>
        <v>0</v>
      </c>
      <c r="O6" s="13">
        <f>SUM(Orders!F6+(Orders!M6*Orders!F6)+Orders!N6)</f>
        <v>72.064499999999995</v>
      </c>
      <c r="R6" s="8" t="s">
        <v>302</v>
      </c>
      <c r="S6" s="8" t="s">
        <v>7</v>
      </c>
      <c r="V6">
        <v>21298732309</v>
      </c>
      <c r="W6" t="s">
        <v>139</v>
      </c>
    </row>
    <row r="7" spans="1:23" ht="14" x14ac:dyDescent="0.15">
      <c r="A7">
        <v>2325437575</v>
      </c>
      <c r="B7" t="str">
        <f t="shared" si="0"/>
        <v>Samsung Galaxy S22 Case</v>
      </c>
      <c r="C7">
        <v>2855</v>
      </c>
      <c r="D7">
        <v>3</v>
      </c>
      <c r="E7" s="5">
        <v>23.91</v>
      </c>
      <c r="F7" s="5">
        <v>71.73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tr">
        <f>VLOOKUP(K7, $R$3:$S$52, 2, FALSE)</f>
        <v>New Jersey</v>
      </c>
      <c r="M7">
        <f>VLOOKUP(L7, Taxes!$A$2:$D$51, 3, FALSE)</f>
        <v>6.6250000000000003E-2</v>
      </c>
      <c r="N7">
        <f t="shared" si="1"/>
        <v>0</v>
      </c>
      <c r="O7" s="13">
        <f>SUM(Orders!F7+(Orders!M7*Orders!F7)+Orders!N7)</f>
        <v>76.482112499999999</v>
      </c>
      <c r="R7" s="8" t="s">
        <v>289</v>
      </c>
      <c r="S7" s="8" t="s">
        <v>8</v>
      </c>
    </row>
    <row r="8" spans="1:23" ht="21" customHeight="1" x14ac:dyDescent="0.15">
      <c r="A8">
        <v>2305437589</v>
      </c>
      <c r="B8" t="str">
        <f t="shared" si="0"/>
        <v>Google Pixel 7 Case</v>
      </c>
      <c r="C8">
        <v>4562</v>
      </c>
      <c r="D8">
        <v>1</v>
      </c>
      <c r="E8" s="5">
        <v>21.68</v>
      </c>
      <c r="F8" s="5">
        <v>21.68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L8" t="str">
        <f>VLOOKUP(K8, $R$3:$S$52, 2, FALSE)</f>
        <v>Kentucky</v>
      </c>
      <c r="M8">
        <f>VLOOKUP(L8, Taxes!$A$2:$D$51, 3, FALSE)</f>
        <v>0.06</v>
      </c>
      <c r="N8">
        <f t="shared" si="1"/>
        <v>6</v>
      </c>
      <c r="O8" s="13">
        <f>SUM(Orders!F8+(Orders!M8*Orders!F8)+Orders!N8)</f>
        <v>28.980799999999999</v>
      </c>
      <c r="R8" s="8" t="s">
        <v>186</v>
      </c>
      <c r="S8" s="8" t="s">
        <v>9</v>
      </c>
    </row>
    <row r="9" spans="1:23" ht="14" x14ac:dyDescent="0.15">
      <c r="A9">
        <v>23405437588</v>
      </c>
      <c r="B9" t="str">
        <f t="shared" si="0"/>
        <v>iPhone 13 Case</v>
      </c>
      <c r="C9">
        <v>1524</v>
      </c>
      <c r="D9">
        <v>2</v>
      </c>
      <c r="E9" s="5">
        <v>11.35</v>
      </c>
      <c r="F9" s="5">
        <v>22.7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tr">
        <f>VLOOKUP(K9, $R$3:$S$52, 2, FALSE)</f>
        <v>Vermont</v>
      </c>
      <c r="M9">
        <f>VLOOKUP(L9, Taxes!$A$2:$D$51, 3, FALSE)</f>
        <v>0.06</v>
      </c>
      <c r="N9">
        <f t="shared" si="1"/>
        <v>6</v>
      </c>
      <c r="O9" s="13">
        <f>SUM(Orders!F9+(Orders!M9*Orders!F9)+Orders!N9)</f>
        <v>30.061999999999998</v>
      </c>
      <c r="R9" s="8" t="s">
        <v>74</v>
      </c>
      <c r="S9" s="8" t="s">
        <v>10</v>
      </c>
    </row>
    <row r="10" spans="1:23" ht="14" x14ac:dyDescent="0.15">
      <c r="A10">
        <v>2325437575</v>
      </c>
      <c r="B10" t="str">
        <f t="shared" si="0"/>
        <v>Samsung Galaxy S22 Case</v>
      </c>
      <c r="C10">
        <v>2994</v>
      </c>
      <c r="D10">
        <v>2</v>
      </c>
      <c r="E10" s="5">
        <v>13.54</v>
      </c>
      <c r="F10" s="5">
        <v>27.08</v>
      </c>
      <c r="G10" t="s">
        <v>101</v>
      </c>
      <c r="H10" t="s">
        <v>102</v>
      </c>
      <c r="I10" t="s">
        <v>103</v>
      </c>
      <c r="J10" t="s">
        <v>104</v>
      </c>
      <c r="K10" t="s">
        <v>85</v>
      </c>
      <c r="L10" t="str">
        <f>VLOOKUP(K10, $R$3:$S$52, 2, FALSE)</f>
        <v>Mississippi</v>
      </c>
      <c r="M10">
        <f>VLOOKUP(L10, Taxes!$A$2:$D$51, 3, FALSE)</f>
        <v>7.0000000000000007E-2</v>
      </c>
      <c r="N10">
        <f t="shared" si="1"/>
        <v>6</v>
      </c>
      <c r="O10" s="13">
        <f>SUM(Orders!F10+(Orders!M10*Orders!F10)+Orders!N10)</f>
        <v>34.9756</v>
      </c>
      <c r="R10" s="8" t="s">
        <v>224</v>
      </c>
      <c r="S10" s="8" t="s">
        <v>11</v>
      </c>
    </row>
    <row r="11" spans="1:23" ht="14" x14ac:dyDescent="0.15">
      <c r="A11">
        <v>2325437575</v>
      </c>
      <c r="B11" t="str">
        <f t="shared" si="0"/>
        <v>Samsung Galaxy S22 Case</v>
      </c>
      <c r="C11">
        <v>7096</v>
      </c>
      <c r="D11">
        <v>5</v>
      </c>
      <c r="E11" s="5">
        <v>14.88</v>
      </c>
      <c r="F11" s="5">
        <v>74.400000000000006</v>
      </c>
      <c r="G11" t="s">
        <v>105</v>
      </c>
      <c r="H11" t="s">
        <v>106</v>
      </c>
      <c r="I11" t="s">
        <v>107</v>
      </c>
      <c r="J11" t="s">
        <v>108</v>
      </c>
      <c r="K11" t="s">
        <v>109</v>
      </c>
      <c r="L11" t="str">
        <f>VLOOKUP(K11, $R$3:$S$52, 2, FALSE)</f>
        <v>Tennessee</v>
      </c>
      <c r="M11">
        <f>VLOOKUP(L11, Taxes!$A$2:$D$51, 3, FALSE)</f>
        <v>7.0000000000000007E-2</v>
      </c>
      <c r="N11">
        <f t="shared" si="1"/>
        <v>0</v>
      </c>
      <c r="O11" s="13">
        <f>SUM(Orders!F11+(Orders!M11*Orders!F11)+Orders!N11)</f>
        <v>79.608000000000004</v>
      </c>
      <c r="R11" s="8" t="s">
        <v>303</v>
      </c>
      <c r="S11" s="8" t="s">
        <v>12</v>
      </c>
    </row>
    <row r="12" spans="1:23" ht="14" x14ac:dyDescent="0.15">
      <c r="A12">
        <v>23405437588</v>
      </c>
      <c r="B12" t="str">
        <f t="shared" si="0"/>
        <v>iPhone 13 Case</v>
      </c>
      <c r="C12">
        <v>7388</v>
      </c>
      <c r="D12">
        <v>1</v>
      </c>
      <c r="E12" s="5">
        <v>15.63</v>
      </c>
      <c r="F12" s="5">
        <v>15.63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tr">
        <f>VLOOKUP(K12, $R$3:$S$52, 2, FALSE)</f>
        <v>Utah</v>
      </c>
      <c r="M12">
        <f>VLOOKUP(L12, Taxes!$A$2:$D$51, 3, FALSE)</f>
        <v>4.8499999999999995E-2</v>
      </c>
      <c r="N12">
        <f t="shared" si="1"/>
        <v>6</v>
      </c>
      <c r="O12" s="13">
        <f>SUM(Orders!F12+(Orders!M12*Orders!F12)+Orders!N12)</f>
        <v>22.388055000000001</v>
      </c>
      <c r="R12" s="8" t="s">
        <v>162</v>
      </c>
      <c r="S12" s="8" t="s">
        <v>13</v>
      </c>
    </row>
    <row r="13" spans="1:23" ht="14" x14ac:dyDescent="0.15">
      <c r="A13">
        <v>23405437588</v>
      </c>
      <c r="B13" t="str">
        <f t="shared" si="0"/>
        <v>iPhone 13 Case</v>
      </c>
      <c r="C13">
        <v>8427</v>
      </c>
      <c r="D13">
        <v>5</v>
      </c>
      <c r="E13" s="5">
        <v>10.84</v>
      </c>
      <c r="F13" s="5">
        <v>54.2</v>
      </c>
      <c r="G13" t="s">
        <v>115</v>
      </c>
      <c r="H13" t="s">
        <v>116</v>
      </c>
      <c r="I13" t="s">
        <v>117</v>
      </c>
      <c r="J13" t="s">
        <v>118</v>
      </c>
      <c r="K13" t="s">
        <v>109</v>
      </c>
      <c r="L13" t="str">
        <f>VLOOKUP(K13, $R$3:$S$52, 2, FALSE)</f>
        <v>Tennessee</v>
      </c>
      <c r="M13">
        <f>VLOOKUP(L13, Taxes!$A$2:$D$51, 3, FALSE)</f>
        <v>7.0000000000000007E-2</v>
      </c>
      <c r="N13">
        <f t="shared" si="1"/>
        <v>0</v>
      </c>
      <c r="O13" s="13">
        <f>SUM(Orders!F13+(Orders!M13*Orders!F13)+Orders!N13)</f>
        <v>57.994</v>
      </c>
      <c r="R13" s="8" t="s">
        <v>215</v>
      </c>
      <c r="S13" s="8" t="s">
        <v>14</v>
      </c>
    </row>
    <row r="14" spans="1:23" ht="14" x14ac:dyDescent="0.15">
      <c r="A14">
        <v>23405437588</v>
      </c>
      <c r="B14" t="str">
        <f t="shared" si="0"/>
        <v>iPhone 13 Case</v>
      </c>
      <c r="C14">
        <v>4290</v>
      </c>
      <c r="D14">
        <v>5</v>
      </c>
      <c r="E14" s="5">
        <v>20.7</v>
      </c>
      <c r="F14" s="5">
        <v>103.5</v>
      </c>
      <c r="G14" t="s">
        <v>119</v>
      </c>
      <c r="H14" t="s">
        <v>120</v>
      </c>
      <c r="I14" t="s">
        <v>121</v>
      </c>
      <c r="J14" t="s">
        <v>122</v>
      </c>
      <c r="K14" t="s">
        <v>123</v>
      </c>
      <c r="L14" t="str">
        <f>VLOOKUP(K14, $R$3:$S$52, 2, FALSE)</f>
        <v>New Mexico</v>
      </c>
      <c r="M14">
        <f>VLOOKUP(L14, Taxes!$A$2:$D$51, 3, FALSE)</f>
        <v>4.8750000000000002E-2</v>
      </c>
      <c r="N14">
        <f t="shared" si="1"/>
        <v>0</v>
      </c>
      <c r="O14" s="13">
        <f>SUM(Orders!F14+(Orders!M14*Orders!F14)+Orders!N14)</f>
        <v>108.545625</v>
      </c>
      <c r="R14" s="8" t="s">
        <v>79</v>
      </c>
      <c r="S14" s="8" t="s">
        <v>15</v>
      </c>
    </row>
    <row r="15" spans="1:23" ht="14" x14ac:dyDescent="0.15">
      <c r="A15">
        <v>23405437588</v>
      </c>
      <c r="B15" t="str">
        <f t="shared" si="0"/>
        <v>iPhone 13 Case</v>
      </c>
      <c r="C15">
        <v>2203</v>
      </c>
      <c r="D15">
        <v>3</v>
      </c>
      <c r="E15" s="5">
        <v>22.18</v>
      </c>
      <c r="F15" s="5">
        <v>66.540000000000006</v>
      </c>
      <c r="G15" t="s">
        <v>124</v>
      </c>
      <c r="H15" t="s">
        <v>120</v>
      </c>
      <c r="I15" t="s">
        <v>125</v>
      </c>
      <c r="J15" t="s">
        <v>126</v>
      </c>
      <c r="K15" t="s">
        <v>127</v>
      </c>
      <c r="L15" t="str">
        <f>VLOOKUP(K15, $R$3:$S$52, 2, FALSE)</f>
        <v>Massachusetts</v>
      </c>
      <c r="M15">
        <f>VLOOKUP(L15, Taxes!$A$2:$D$51, 3, FALSE)</f>
        <v>6.25E-2</v>
      </c>
      <c r="N15">
        <f t="shared" si="1"/>
        <v>0</v>
      </c>
      <c r="O15" s="13">
        <f>SUM(Orders!F15+(Orders!M15*Orders!F15)+Orders!N15)</f>
        <v>70.698750000000004</v>
      </c>
      <c r="R15" s="8" t="s">
        <v>172</v>
      </c>
      <c r="S15" s="8" t="s">
        <v>16</v>
      </c>
    </row>
    <row r="16" spans="1:23" ht="14" x14ac:dyDescent="0.15">
      <c r="A16">
        <v>2305437589</v>
      </c>
      <c r="B16" t="str">
        <f t="shared" si="0"/>
        <v>Google Pixel 7 Case</v>
      </c>
      <c r="C16">
        <v>8401</v>
      </c>
      <c r="D16">
        <v>2</v>
      </c>
      <c r="E16" s="5">
        <v>17.57</v>
      </c>
      <c r="F16" s="5">
        <v>35.14</v>
      </c>
      <c r="G16" t="s">
        <v>128</v>
      </c>
      <c r="H16" t="s">
        <v>129</v>
      </c>
      <c r="I16" t="s">
        <v>130</v>
      </c>
      <c r="J16" t="s">
        <v>131</v>
      </c>
      <c r="K16" t="s">
        <v>132</v>
      </c>
      <c r="L16" t="str">
        <f>VLOOKUP(K16, $R$3:$S$52, 2, FALSE)</f>
        <v>Minnesota</v>
      </c>
      <c r="M16">
        <f>VLOOKUP(L16, Taxes!$A$2:$D$51, 3, FALSE)</f>
        <v>6.8750000000000006E-2</v>
      </c>
      <c r="N16">
        <f t="shared" si="1"/>
        <v>0</v>
      </c>
      <c r="O16" s="13">
        <f>SUM(Orders!F16+(Orders!M16*Orders!F16)+Orders!N16)</f>
        <v>37.555875</v>
      </c>
      <c r="R16" s="8" t="s">
        <v>138</v>
      </c>
      <c r="S16" s="8" t="s">
        <v>17</v>
      </c>
    </row>
    <row r="17" spans="1:19" ht="14" x14ac:dyDescent="0.15">
      <c r="A17">
        <v>23505437598</v>
      </c>
      <c r="B17" t="str">
        <f t="shared" si="0"/>
        <v>OnePlus 11 Case</v>
      </c>
      <c r="C17">
        <v>4055</v>
      </c>
      <c r="D17">
        <v>1</v>
      </c>
      <c r="E17" s="5">
        <v>21.66</v>
      </c>
      <c r="F17" s="5">
        <v>21.66</v>
      </c>
      <c r="G17" t="s">
        <v>134</v>
      </c>
      <c r="H17" t="s">
        <v>135</v>
      </c>
      <c r="I17" t="s">
        <v>136</v>
      </c>
      <c r="J17" t="s">
        <v>137</v>
      </c>
      <c r="K17" t="s">
        <v>138</v>
      </c>
      <c r="L17" t="str">
        <f>VLOOKUP(K17, $R$3:$S$52, 2, FALSE)</f>
        <v>Indiana</v>
      </c>
      <c r="M17">
        <f>VLOOKUP(L17, Taxes!$A$2:$D$51, 3, FALSE)</f>
        <v>7.0000000000000007E-2</v>
      </c>
      <c r="N17">
        <f t="shared" si="1"/>
        <v>6</v>
      </c>
      <c r="O17" s="13">
        <f>SUM(Orders!F17+(Orders!M17*Orders!F17)+Orders!N17)</f>
        <v>29.176200000000001</v>
      </c>
      <c r="R17" s="8" t="s">
        <v>167</v>
      </c>
      <c r="S17" s="8" t="s">
        <v>18</v>
      </c>
    </row>
    <row r="18" spans="1:19" ht="14" x14ac:dyDescent="0.15">
      <c r="A18">
        <v>21298732309</v>
      </c>
      <c r="B18" t="str">
        <f t="shared" si="0"/>
        <v>iPhone 14 Case</v>
      </c>
      <c r="C18">
        <v>4384</v>
      </c>
      <c r="D18">
        <v>3</v>
      </c>
      <c r="E18" s="5">
        <v>19.52</v>
      </c>
      <c r="F18" s="5">
        <v>58.56</v>
      </c>
      <c r="G18" t="s">
        <v>140</v>
      </c>
      <c r="H18" t="s">
        <v>141</v>
      </c>
      <c r="I18" t="s">
        <v>142</v>
      </c>
      <c r="J18" t="s">
        <v>143</v>
      </c>
      <c r="K18" t="s">
        <v>138</v>
      </c>
      <c r="L18" t="str">
        <f>VLOOKUP(K18, $R$3:$S$52, 2, FALSE)</f>
        <v>Indiana</v>
      </c>
      <c r="M18">
        <f>VLOOKUP(L18, Taxes!$A$2:$D$51, 3, FALSE)</f>
        <v>7.0000000000000007E-2</v>
      </c>
      <c r="N18">
        <f t="shared" si="1"/>
        <v>0</v>
      </c>
      <c r="O18" s="13">
        <f>SUM(Orders!F18+(Orders!M18*Orders!F18)+Orders!N18)</f>
        <v>62.659200000000006</v>
      </c>
      <c r="R18" s="8" t="s">
        <v>304</v>
      </c>
      <c r="S18" s="8" t="s">
        <v>19</v>
      </c>
    </row>
    <row r="19" spans="1:19" ht="14" x14ac:dyDescent="0.15">
      <c r="A19">
        <v>2325437575</v>
      </c>
      <c r="B19" t="str">
        <f t="shared" si="0"/>
        <v>Samsung Galaxy S22 Case</v>
      </c>
      <c r="C19">
        <v>3965</v>
      </c>
      <c r="D19">
        <v>3</v>
      </c>
      <c r="E19" s="5">
        <v>22.57</v>
      </c>
      <c r="F19" s="5">
        <v>67.709999999999994</v>
      </c>
      <c r="G19" t="s">
        <v>144</v>
      </c>
      <c r="H19" t="s">
        <v>145</v>
      </c>
      <c r="I19" t="s">
        <v>146</v>
      </c>
      <c r="J19" t="s">
        <v>147</v>
      </c>
      <c r="K19" t="s">
        <v>148</v>
      </c>
      <c r="L19" t="str">
        <f>VLOOKUP(K19, $R$3:$S$52, 2, FALSE)</f>
        <v>Oklahoma</v>
      </c>
      <c r="M19">
        <f>VLOOKUP(L19, Taxes!$A$2:$D$51, 3, FALSE)</f>
        <v>4.4999999999999998E-2</v>
      </c>
      <c r="N19">
        <f t="shared" si="1"/>
        <v>0</v>
      </c>
      <c r="O19" s="13">
        <f>SUM(Orders!F19+(Orders!M19*Orders!F19)+Orders!N19)</f>
        <v>70.756949999999989</v>
      </c>
      <c r="R19" s="8" t="s">
        <v>95</v>
      </c>
      <c r="S19" s="8" t="s">
        <v>20</v>
      </c>
    </row>
    <row r="20" spans="1:19" ht="14" x14ac:dyDescent="0.15">
      <c r="A20">
        <v>2325437575</v>
      </c>
      <c r="B20" t="str">
        <f t="shared" si="0"/>
        <v>Samsung Galaxy S22 Case</v>
      </c>
      <c r="C20">
        <v>8497</v>
      </c>
      <c r="D20">
        <v>1</v>
      </c>
      <c r="E20" s="5">
        <v>13.2</v>
      </c>
      <c r="F20" s="5">
        <v>13.2</v>
      </c>
      <c r="G20" t="s">
        <v>149</v>
      </c>
      <c r="H20" t="s">
        <v>150</v>
      </c>
      <c r="I20" t="s">
        <v>151</v>
      </c>
      <c r="J20" t="s">
        <v>152</v>
      </c>
      <c r="K20" t="s">
        <v>153</v>
      </c>
      <c r="L20" t="str">
        <f>VLOOKUP(K20, $R$3:$S$52, 2, FALSE)</f>
        <v>Nevada</v>
      </c>
      <c r="M20">
        <f>VLOOKUP(L20, Taxes!$A$2:$D$51, 3, FALSE)</f>
        <v>4.5999999999999999E-2</v>
      </c>
      <c r="N20">
        <f t="shared" si="1"/>
        <v>6</v>
      </c>
      <c r="O20" s="13">
        <f>SUM(Orders!F20+(Orders!M20*Orders!F20)+Orders!N20)</f>
        <v>19.807200000000002</v>
      </c>
      <c r="R20" s="8" t="s">
        <v>305</v>
      </c>
      <c r="S20" s="8" t="s">
        <v>21</v>
      </c>
    </row>
    <row r="21" spans="1:19" ht="14" x14ac:dyDescent="0.15">
      <c r="A21">
        <v>2325437575</v>
      </c>
      <c r="B21" t="str">
        <f t="shared" si="0"/>
        <v>Samsung Galaxy S22 Case</v>
      </c>
      <c r="C21">
        <v>3994</v>
      </c>
      <c r="D21">
        <v>2</v>
      </c>
      <c r="E21" s="5">
        <v>18.41</v>
      </c>
      <c r="F21" s="5">
        <v>36.82</v>
      </c>
      <c r="G21" t="s">
        <v>154</v>
      </c>
      <c r="H21" t="s">
        <v>155</v>
      </c>
      <c r="I21" t="s">
        <v>156</v>
      </c>
      <c r="J21" t="s">
        <v>157</v>
      </c>
      <c r="K21" t="s">
        <v>132</v>
      </c>
      <c r="L21" t="str">
        <f>VLOOKUP(K21, $R$3:$S$52, 2, FALSE)</f>
        <v>Minnesota</v>
      </c>
      <c r="M21">
        <f>VLOOKUP(L21, Taxes!$A$2:$D$51, 3, FALSE)</f>
        <v>6.8750000000000006E-2</v>
      </c>
      <c r="N21">
        <f t="shared" si="1"/>
        <v>0</v>
      </c>
      <c r="O21" s="13">
        <f>SUM(Orders!F21+(Orders!M21*Orders!F21)+Orders!N21)</f>
        <v>39.351374999999997</v>
      </c>
      <c r="R21" s="8" t="s">
        <v>191</v>
      </c>
      <c r="S21" s="8" t="s">
        <v>22</v>
      </c>
    </row>
    <row r="22" spans="1:19" ht="14" x14ac:dyDescent="0.15">
      <c r="A22">
        <v>21298732309</v>
      </c>
      <c r="B22" t="str">
        <f t="shared" si="0"/>
        <v>iPhone 14 Case</v>
      </c>
      <c r="C22">
        <v>6014</v>
      </c>
      <c r="D22">
        <v>4</v>
      </c>
      <c r="E22" s="5">
        <v>21.76</v>
      </c>
      <c r="F22" s="5">
        <v>87.04</v>
      </c>
      <c r="G22" t="s">
        <v>158</v>
      </c>
      <c r="H22" t="s">
        <v>159</v>
      </c>
      <c r="I22" t="s">
        <v>160</v>
      </c>
      <c r="J22" t="s">
        <v>161</v>
      </c>
      <c r="K22" t="s">
        <v>162</v>
      </c>
      <c r="L22" t="str">
        <f>VLOOKUP(K22, $R$3:$S$52, 2, FALSE)</f>
        <v>Georgia</v>
      </c>
      <c r="M22">
        <f>VLOOKUP(L22, Taxes!$A$2:$D$51, 3, FALSE)</f>
        <v>0.04</v>
      </c>
      <c r="N22">
        <f t="shared" si="1"/>
        <v>0</v>
      </c>
      <c r="O22" s="13">
        <f>SUM(Orders!F22+(Orders!M22*Orders!F22)+Orders!N22)</f>
        <v>90.521600000000007</v>
      </c>
      <c r="R22" s="8" t="s">
        <v>306</v>
      </c>
      <c r="S22" s="8" t="s">
        <v>3</v>
      </c>
    </row>
    <row r="23" spans="1:19" ht="28" x14ac:dyDescent="0.15">
      <c r="A23">
        <v>2305437589</v>
      </c>
      <c r="B23" t="str">
        <f t="shared" si="0"/>
        <v>Google Pixel 7 Case</v>
      </c>
      <c r="C23">
        <v>4304</v>
      </c>
      <c r="D23">
        <v>2</v>
      </c>
      <c r="E23" s="5">
        <v>22.34</v>
      </c>
      <c r="F23" s="5">
        <v>44.68</v>
      </c>
      <c r="G23" t="s">
        <v>163</v>
      </c>
      <c r="H23" t="s">
        <v>164</v>
      </c>
      <c r="I23" t="s">
        <v>165</v>
      </c>
      <c r="J23" t="s">
        <v>166</v>
      </c>
      <c r="K23" t="s">
        <v>167</v>
      </c>
      <c r="L23" t="str">
        <f>VLOOKUP(K23, $R$3:$S$52, 2, FALSE)</f>
        <v>Iowa</v>
      </c>
      <c r="M23">
        <f>VLOOKUP(L23, Taxes!$A$2:$D$51, 3, FALSE)</f>
        <v>0.06</v>
      </c>
      <c r="N23">
        <f t="shared" si="1"/>
        <v>0</v>
      </c>
      <c r="O23" s="13">
        <f>SUM(Orders!F23+(Orders!M23*Orders!F23)+Orders!N23)</f>
        <v>47.360799999999998</v>
      </c>
      <c r="R23" s="8" t="s">
        <v>127</v>
      </c>
      <c r="S23" s="8" t="s">
        <v>23</v>
      </c>
    </row>
    <row r="24" spans="1:19" ht="14" x14ac:dyDescent="0.15">
      <c r="A24">
        <v>23405437588</v>
      </c>
      <c r="B24" t="str">
        <f t="shared" si="0"/>
        <v>iPhone 13 Case</v>
      </c>
      <c r="C24">
        <v>2795</v>
      </c>
      <c r="D24">
        <v>3</v>
      </c>
      <c r="E24" s="5">
        <v>16.11</v>
      </c>
      <c r="F24" s="5">
        <v>48.33</v>
      </c>
      <c r="G24" t="s">
        <v>168</v>
      </c>
      <c r="H24" t="s">
        <v>169</v>
      </c>
      <c r="I24" t="s">
        <v>170</v>
      </c>
      <c r="J24" t="s">
        <v>171</v>
      </c>
      <c r="K24" t="s">
        <v>172</v>
      </c>
      <c r="L24" t="str">
        <f>VLOOKUP(K24, $R$3:$S$52, 2, FALSE)</f>
        <v>Illinois</v>
      </c>
      <c r="M24">
        <f>VLOOKUP(L24, Taxes!$A$2:$D$51, 3, FALSE)</f>
        <v>6.25E-2</v>
      </c>
      <c r="N24">
        <f t="shared" si="1"/>
        <v>0</v>
      </c>
      <c r="O24" s="13">
        <f>SUM(Orders!F24+(Orders!M24*Orders!F24)+Orders!N24)</f>
        <v>51.350625000000001</v>
      </c>
      <c r="R24" s="8" t="s">
        <v>307</v>
      </c>
      <c r="S24" s="8" t="s">
        <v>24</v>
      </c>
    </row>
    <row r="25" spans="1:19" ht="14" x14ac:dyDescent="0.15">
      <c r="A25">
        <v>21298732309</v>
      </c>
      <c r="B25" t="str">
        <f t="shared" si="0"/>
        <v>iPhone 14 Case</v>
      </c>
      <c r="C25">
        <v>5293</v>
      </c>
      <c r="D25">
        <v>4</v>
      </c>
      <c r="E25" s="5">
        <v>15.02</v>
      </c>
      <c r="F25" s="5">
        <v>60.08</v>
      </c>
      <c r="G25" t="s">
        <v>173</v>
      </c>
      <c r="H25" t="s">
        <v>174</v>
      </c>
      <c r="I25" t="s">
        <v>175</v>
      </c>
      <c r="J25" t="s">
        <v>176</v>
      </c>
      <c r="K25" t="s">
        <v>177</v>
      </c>
      <c r="L25" t="str">
        <f>VLOOKUP(K25, $R$3:$S$52, 2, FALSE)</f>
        <v>Pennsylvania</v>
      </c>
      <c r="M25">
        <f>VLOOKUP(L25, Taxes!$A$2:$D$51, 3, FALSE)</f>
        <v>0.06</v>
      </c>
      <c r="N25">
        <f t="shared" si="1"/>
        <v>0</v>
      </c>
      <c r="O25" s="13">
        <f>SUM(Orders!F25+(Orders!M25*Orders!F25)+Orders!N25)</f>
        <v>63.684799999999996</v>
      </c>
      <c r="R25" s="8" t="s">
        <v>132</v>
      </c>
      <c r="S25" s="8" t="s">
        <v>25</v>
      </c>
    </row>
    <row r="26" spans="1:19" ht="14" x14ac:dyDescent="0.15">
      <c r="A26">
        <v>23405437588</v>
      </c>
      <c r="B26" t="str">
        <f t="shared" si="0"/>
        <v>iPhone 13 Case</v>
      </c>
      <c r="C26">
        <v>5964</v>
      </c>
      <c r="D26">
        <v>2</v>
      </c>
      <c r="E26" s="5">
        <v>21.71</v>
      </c>
      <c r="F26" s="5">
        <v>43.42</v>
      </c>
      <c r="G26" t="s">
        <v>178</v>
      </c>
      <c r="H26" t="s">
        <v>179</v>
      </c>
      <c r="I26" t="s">
        <v>180</v>
      </c>
      <c r="J26" t="s">
        <v>181</v>
      </c>
      <c r="K26" t="s">
        <v>132</v>
      </c>
      <c r="L26" t="str">
        <f>VLOOKUP(K26, $R$3:$S$52, 2, FALSE)</f>
        <v>Minnesota</v>
      </c>
      <c r="M26">
        <f>VLOOKUP(L26, Taxes!$A$2:$D$51, 3, FALSE)</f>
        <v>6.8750000000000006E-2</v>
      </c>
      <c r="N26">
        <f t="shared" si="1"/>
        <v>0</v>
      </c>
      <c r="O26" s="13">
        <f>SUM(Orders!F26+(Orders!M26*Orders!F26)+Orders!N26)</f>
        <v>46.405125000000005</v>
      </c>
      <c r="R26" s="8" t="s">
        <v>85</v>
      </c>
      <c r="S26" s="8" t="s">
        <v>26</v>
      </c>
    </row>
    <row r="27" spans="1:19" ht="14" x14ac:dyDescent="0.15">
      <c r="A27">
        <v>2325437575</v>
      </c>
      <c r="B27" t="str">
        <f t="shared" si="0"/>
        <v>Samsung Galaxy S22 Case</v>
      </c>
      <c r="C27">
        <v>1819</v>
      </c>
      <c r="D27">
        <v>2</v>
      </c>
      <c r="E27" s="5">
        <v>13.94</v>
      </c>
      <c r="F27" s="5">
        <v>27.88</v>
      </c>
      <c r="G27" t="s">
        <v>182</v>
      </c>
      <c r="H27" t="s">
        <v>183</v>
      </c>
      <c r="I27" t="s">
        <v>184</v>
      </c>
      <c r="J27" t="s">
        <v>185</v>
      </c>
      <c r="K27" t="s">
        <v>186</v>
      </c>
      <c r="L27" t="str">
        <f>VLOOKUP(K27, $R$3:$S$52, 2, FALSE)</f>
        <v>Colorado</v>
      </c>
      <c r="M27">
        <f>VLOOKUP(L27, Taxes!$A$2:$D$51, 3, FALSE)</f>
        <v>2.8999999999999998E-2</v>
      </c>
      <c r="N27">
        <f t="shared" si="1"/>
        <v>6</v>
      </c>
      <c r="O27" s="13">
        <f>SUM(Orders!F27+(Orders!M27*Orders!F27)+Orders!N27)</f>
        <v>34.688519999999997</v>
      </c>
      <c r="R27" s="8" t="s">
        <v>242</v>
      </c>
      <c r="S27" s="8" t="s">
        <v>27</v>
      </c>
    </row>
    <row r="28" spans="1:19" ht="14" x14ac:dyDescent="0.15">
      <c r="A28">
        <v>23405437588</v>
      </c>
      <c r="B28" t="str">
        <f t="shared" si="0"/>
        <v>iPhone 13 Case</v>
      </c>
      <c r="C28">
        <v>4105</v>
      </c>
      <c r="D28">
        <v>1</v>
      </c>
      <c r="E28" s="5">
        <v>21.12</v>
      </c>
      <c r="F28" s="5">
        <v>21.12</v>
      </c>
      <c r="G28" t="s">
        <v>187</v>
      </c>
      <c r="H28" t="s">
        <v>188</v>
      </c>
      <c r="I28" t="s">
        <v>189</v>
      </c>
      <c r="J28" t="s">
        <v>190</v>
      </c>
      <c r="K28" t="s">
        <v>191</v>
      </c>
      <c r="L28" t="str">
        <f>VLOOKUP(K28, $R$3:$S$52, 2, FALSE)</f>
        <v>Maine</v>
      </c>
      <c r="M28">
        <f>VLOOKUP(L28, Taxes!$A$2:$D$51, 3, FALSE)</f>
        <v>5.5E-2</v>
      </c>
      <c r="N28">
        <f t="shared" si="1"/>
        <v>6</v>
      </c>
      <c r="O28" s="13">
        <f>SUM(Orders!F28+(Orders!M28*Orders!F28)+Orders!N28)</f>
        <v>28.281600000000001</v>
      </c>
      <c r="R28" s="8" t="s">
        <v>196</v>
      </c>
      <c r="S28" s="8" t="s">
        <v>28</v>
      </c>
    </row>
    <row r="29" spans="1:19" ht="14" x14ac:dyDescent="0.15">
      <c r="A29">
        <v>2325437575</v>
      </c>
      <c r="B29" t="str">
        <f t="shared" si="0"/>
        <v>Samsung Galaxy S22 Case</v>
      </c>
      <c r="C29">
        <v>9321</v>
      </c>
      <c r="D29">
        <v>3</v>
      </c>
      <c r="E29" s="5">
        <v>18.68</v>
      </c>
      <c r="F29" s="5">
        <v>56.04</v>
      </c>
      <c r="G29" t="s">
        <v>192</v>
      </c>
      <c r="H29" t="s">
        <v>193</v>
      </c>
      <c r="I29" t="s">
        <v>194</v>
      </c>
      <c r="J29" t="s">
        <v>195</v>
      </c>
      <c r="K29" t="s">
        <v>196</v>
      </c>
      <c r="L29" t="str">
        <f>VLOOKUP(K29, $R$3:$S$52, 2, FALSE)</f>
        <v>Montana</v>
      </c>
      <c r="M29">
        <f>VLOOKUP(L29, Taxes!$A$2:$D$51, 3, FALSE)</f>
        <v>0</v>
      </c>
      <c r="N29">
        <f t="shared" si="1"/>
        <v>0</v>
      </c>
      <c r="O29" s="13">
        <f>SUM(Orders!F29+(Orders!M29*Orders!F29)+Orders!N29)</f>
        <v>56.04</v>
      </c>
      <c r="R29" s="8" t="s">
        <v>308</v>
      </c>
      <c r="S29" s="8" t="s">
        <v>29</v>
      </c>
    </row>
    <row r="30" spans="1:19" ht="14" x14ac:dyDescent="0.15">
      <c r="A30">
        <v>2305437589</v>
      </c>
      <c r="B30" t="str">
        <f t="shared" si="0"/>
        <v>Google Pixel 7 Case</v>
      </c>
      <c r="C30">
        <v>4117</v>
      </c>
      <c r="D30">
        <v>5</v>
      </c>
      <c r="E30" s="5">
        <v>11.84</v>
      </c>
      <c r="F30" s="5">
        <v>59.2</v>
      </c>
      <c r="G30" t="s">
        <v>197</v>
      </c>
      <c r="H30" t="s">
        <v>198</v>
      </c>
      <c r="I30" t="s">
        <v>199</v>
      </c>
      <c r="J30" t="s">
        <v>200</v>
      </c>
      <c r="K30" t="s">
        <v>201</v>
      </c>
      <c r="L30" t="str">
        <f>VLOOKUP(K30, $R$3:$S$52, 2, FALSE)</f>
        <v>South Dakota</v>
      </c>
      <c r="M30">
        <f>VLOOKUP(L30, Taxes!$A$2:$D$51, 3, FALSE)</f>
        <v>4.2000000000000003E-2</v>
      </c>
      <c r="N30">
        <f t="shared" si="1"/>
        <v>0</v>
      </c>
      <c r="O30" s="13">
        <f>SUM(Orders!F30+(Orders!M30*Orders!F30)+Orders!N30)</f>
        <v>61.686400000000006</v>
      </c>
      <c r="R30" s="8" t="s">
        <v>153</v>
      </c>
      <c r="S30" s="8" t="s">
        <v>30</v>
      </c>
    </row>
    <row r="31" spans="1:19" ht="28" x14ac:dyDescent="0.15">
      <c r="A31">
        <v>21298732309</v>
      </c>
      <c r="B31" t="str">
        <f t="shared" si="0"/>
        <v>iPhone 14 Case</v>
      </c>
      <c r="C31">
        <v>3861</v>
      </c>
      <c r="D31">
        <v>5</v>
      </c>
      <c r="E31" s="5">
        <v>22.14</v>
      </c>
      <c r="F31" s="5">
        <v>110.7</v>
      </c>
      <c r="G31" t="s">
        <v>140</v>
      </c>
      <c r="H31" t="s">
        <v>202</v>
      </c>
      <c r="I31" t="s">
        <v>203</v>
      </c>
      <c r="J31" t="s">
        <v>204</v>
      </c>
      <c r="K31" t="s">
        <v>205</v>
      </c>
      <c r="L31" t="str">
        <f>VLOOKUP(K31, $R$3:$S$52, 2, FALSE)</f>
        <v>Oregon</v>
      </c>
      <c r="M31">
        <f>VLOOKUP(L31, Taxes!$A$2:$D$51, 3, FALSE)</f>
        <v>0</v>
      </c>
      <c r="N31">
        <f t="shared" si="1"/>
        <v>0</v>
      </c>
      <c r="O31" s="13">
        <f>SUM(Orders!F31+(Orders!M31*Orders!F31)+Orders!N31)</f>
        <v>110.7</v>
      </c>
      <c r="R31" s="8" t="s">
        <v>233</v>
      </c>
      <c r="S31" s="8" t="s">
        <v>31</v>
      </c>
    </row>
    <row r="32" spans="1:19" ht="14" x14ac:dyDescent="0.15">
      <c r="A32">
        <v>2305437589</v>
      </c>
      <c r="B32" t="str">
        <f t="shared" si="0"/>
        <v>Google Pixel 7 Case</v>
      </c>
      <c r="C32">
        <v>3094</v>
      </c>
      <c r="D32">
        <v>1</v>
      </c>
      <c r="E32" s="5">
        <v>21.22</v>
      </c>
      <c r="F32" s="5">
        <v>21.22</v>
      </c>
      <c r="G32" t="s">
        <v>206</v>
      </c>
      <c r="H32" t="s">
        <v>207</v>
      </c>
      <c r="I32" t="s">
        <v>208</v>
      </c>
      <c r="J32" t="s">
        <v>209</v>
      </c>
      <c r="K32" t="s">
        <v>210</v>
      </c>
      <c r="L32" t="str">
        <f>VLOOKUP(K32, $R$3:$S$52, 2, FALSE)</f>
        <v>North Carolina</v>
      </c>
      <c r="M32">
        <f>VLOOKUP(L32, Taxes!$A$2:$D$51, 3, FALSE)</f>
        <v>4.7500000000000001E-2</v>
      </c>
      <c r="N32">
        <f t="shared" si="1"/>
        <v>6</v>
      </c>
      <c r="O32" s="13">
        <f>SUM(Orders!F32+(Orders!M32*Orders!F32)+Orders!N32)</f>
        <v>28.22795</v>
      </c>
      <c r="R32" s="8" t="s">
        <v>90</v>
      </c>
      <c r="S32" s="8" t="s">
        <v>2</v>
      </c>
    </row>
    <row r="33" spans="1:19" ht="14" x14ac:dyDescent="0.15">
      <c r="A33">
        <v>23505437598</v>
      </c>
      <c r="B33" t="str">
        <f t="shared" si="0"/>
        <v>OnePlus 11 Case</v>
      </c>
      <c r="C33">
        <v>4293</v>
      </c>
      <c r="D33">
        <v>5</v>
      </c>
      <c r="E33" s="5">
        <v>10.84</v>
      </c>
      <c r="F33" s="5">
        <v>54.2</v>
      </c>
      <c r="G33" t="s">
        <v>211</v>
      </c>
      <c r="H33" t="s">
        <v>212</v>
      </c>
      <c r="I33" t="s">
        <v>213</v>
      </c>
      <c r="J33" t="s">
        <v>214</v>
      </c>
      <c r="K33" t="s">
        <v>215</v>
      </c>
      <c r="L33" t="str">
        <f>VLOOKUP(K33, $R$3:$S$52, 2, FALSE)</f>
        <v>Hawaii</v>
      </c>
      <c r="M33">
        <f>VLOOKUP(L33, Taxes!$A$2:$D$51, 3, FALSE)</f>
        <v>0.04</v>
      </c>
      <c r="N33">
        <f t="shared" si="1"/>
        <v>0</v>
      </c>
      <c r="O33" s="13">
        <f>SUM(Orders!F33+(Orders!M33*Orders!F33)+Orders!N33)</f>
        <v>56.368000000000002</v>
      </c>
      <c r="R33" s="8" t="s">
        <v>123</v>
      </c>
      <c r="S33" s="8" t="s">
        <v>32</v>
      </c>
    </row>
    <row r="34" spans="1:19" ht="14" x14ac:dyDescent="0.15">
      <c r="A34">
        <v>21298732309</v>
      </c>
      <c r="B34" t="str">
        <f t="shared" si="0"/>
        <v>iPhone 14 Case</v>
      </c>
      <c r="C34">
        <v>9727</v>
      </c>
      <c r="D34">
        <v>2</v>
      </c>
      <c r="E34" s="5">
        <v>24.72</v>
      </c>
      <c r="F34" s="5">
        <v>49.44</v>
      </c>
      <c r="G34" t="s">
        <v>216</v>
      </c>
      <c r="H34" t="s">
        <v>217</v>
      </c>
      <c r="I34" t="s">
        <v>218</v>
      </c>
      <c r="J34" t="s">
        <v>219</v>
      </c>
      <c r="K34" t="s">
        <v>186</v>
      </c>
      <c r="L34" t="str">
        <f>VLOOKUP(K34, $R$3:$S$52, 2, FALSE)</f>
        <v>Colorado</v>
      </c>
      <c r="M34">
        <f>VLOOKUP(L34, Taxes!$A$2:$D$51, 3, FALSE)</f>
        <v>2.8999999999999998E-2</v>
      </c>
      <c r="N34">
        <f t="shared" si="1"/>
        <v>0</v>
      </c>
      <c r="O34" s="13">
        <f>SUM(Orders!F34+(Orders!M34*Orders!F34)+Orders!N34)</f>
        <v>50.873759999999997</v>
      </c>
      <c r="R34" s="8" t="s">
        <v>309</v>
      </c>
      <c r="S34" s="8" t="s">
        <v>1</v>
      </c>
    </row>
    <row r="35" spans="1:19" ht="14" x14ac:dyDescent="0.15">
      <c r="A35">
        <v>21298732309</v>
      </c>
      <c r="B35" t="str">
        <f t="shared" si="0"/>
        <v>iPhone 14 Case</v>
      </c>
      <c r="C35">
        <v>6628</v>
      </c>
      <c r="D35">
        <v>5</v>
      </c>
      <c r="E35" s="5">
        <v>13.1</v>
      </c>
      <c r="F35" s="5">
        <v>65.5</v>
      </c>
      <c r="G35" t="s">
        <v>220</v>
      </c>
      <c r="H35" t="s">
        <v>221</v>
      </c>
      <c r="I35" t="s">
        <v>222</v>
      </c>
      <c r="J35" t="s">
        <v>223</v>
      </c>
      <c r="K35" t="s">
        <v>224</v>
      </c>
      <c r="L35" t="str">
        <f>VLOOKUP(K35, $R$3:$S$52, 2, FALSE)</f>
        <v>Delaware</v>
      </c>
      <c r="M35">
        <f>VLOOKUP(L35, Taxes!$A$2:$D$51, 3, FALSE)</f>
        <v>0</v>
      </c>
      <c r="N35">
        <f t="shared" si="1"/>
        <v>0</v>
      </c>
      <c r="O35" s="13">
        <f>SUM(Orders!F35+(Orders!M35*Orders!F35)+Orders!N35)</f>
        <v>65.5</v>
      </c>
      <c r="R35" s="8" t="s">
        <v>210</v>
      </c>
      <c r="S35" s="8" t="s">
        <v>33</v>
      </c>
    </row>
    <row r="36" spans="1:19" ht="14" x14ac:dyDescent="0.15">
      <c r="A36">
        <v>23505437598</v>
      </c>
      <c r="B36" t="str">
        <f t="shared" si="0"/>
        <v>OnePlus 11 Case</v>
      </c>
      <c r="C36">
        <v>3594</v>
      </c>
      <c r="D36">
        <v>2</v>
      </c>
      <c r="E36" s="5">
        <v>15.91</v>
      </c>
      <c r="F36" s="5">
        <v>31.82</v>
      </c>
      <c r="G36" t="s">
        <v>225</v>
      </c>
      <c r="H36" t="s">
        <v>226</v>
      </c>
      <c r="I36" t="s">
        <v>227</v>
      </c>
      <c r="J36" t="s">
        <v>228</v>
      </c>
      <c r="K36" t="s">
        <v>109</v>
      </c>
      <c r="L36" t="str">
        <f>VLOOKUP(K36, $R$3:$S$52, 2, FALSE)</f>
        <v>Tennessee</v>
      </c>
      <c r="M36">
        <f>VLOOKUP(L36, Taxes!$A$2:$D$51, 3, FALSE)</f>
        <v>7.0000000000000007E-2</v>
      </c>
      <c r="N36">
        <f t="shared" si="1"/>
        <v>6</v>
      </c>
      <c r="O36" s="13">
        <f>SUM(Orders!F36+(Orders!M36*Orders!F36)+Orders!N36)</f>
        <v>40.047400000000003</v>
      </c>
      <c r="R36" s="8" t="s">
        <v>310</v>
      </c>
      <c r="S36" s="8" t="s">
        <v>34</v>
      </c>
    </row>
    <row r="37" spans="1:19" ht="14" x14ac:dyDescent="0.15">
      <c r="A37">
        <v>21298732309</v>
      </c>
      <c r="B37" t="str">
        <f t="shared" si="0"/>
        <v>iPhone 14 Case</v>
      </c>
      <c r="C37">
        <v>4342</v>
      </c>
      <c r="D37">
        <v>2</v>
      </c>
      <c r="E37" s="5">
        <v>15.7</v>
      </c>
      <c r="F37" s="5">
        <v>31.4</v>
      </c>
      <c r="G37" t="s">
        <v>229</v>
      </c>
      <c r="H37" t="s">
        <v>230</v>
      </c>
      <c r="I37" t="s">
        <v>231</v>
      </c>
      <c r="J37" t="s">
        <v>232</v>
      </c>
      <c r="K37" t="s">
        <v>233</v>
      </c>
      <c r="L37" t="str">
        <f>VLOOKUP(K37, $R$3:$S$52, 2, FALSE)</f>
        <v>New Hampshire</v>
      </c>
      <c r="M37">
        <f>VLOOKUP(L37, Taxes!$A$2:$D$51, 3, FALSE)</f>
        <v>0</v>
      </c>
      <c r="N37">
        <f t="shared" si="1"/>
        <v>6</v>
      </c>
      <c r="O37" s="13">
        <f>SUM(Orders!F37+(Orders!M37*Orders!F37)+Orders!N37)</f>
        <v>37.4</v>
      </c>
      <c r="R37" s="8" t="s">
        <v>68</v>
      </c>
      <c r="S37" s="8" t="s">
        <v>35</v>
      </c>
    </row>
    <row r="38" spans="1:19" ht="14" x14ac:dyDescent="0.15">
      <c r="A38">
        <v>21298732309</v>
      </c>
      <c r="B38" t="str">
        <f t="shared" si="0"/>
        <v>iPhone 14 Case</v>
      </c>
      <c r="C38">
        <v>8227</v>
      </c>
      <c r="D38">
        <v>5</v>
      </c>
      <c r="E38" s="5">
        <v>11.35</v>
      </c>
      <c r="F38" s="5">
        <v>56.75</v>
      </c>
      <c r="G38" t="s">
        <v>234</v>
      </c>
      <c r="H38" t="s">
        <v>235</v>
      </c>
      <c r="I38" t="s">
        <v>236</v>
      </c>
      <c r="J38" t="s">
        <v>237</v>
      </c>
      <c r="K38" t="s">
        <v>162</v>
      </c>
      <c r="L38" t="str">
        <f>VLOOKUP(K38, $R$3:$S$52, 2, FALSE)</f>
        <v>Georgia</v>
      </c>
      <c r="M38">
        <f>VLOOKUP(L38, Taxes!$A$2:$D$51, 3, FALSE)</f>
        <v>0.04</v>
      </c>
      <c r="N38">
        <f t="shared" si="1"/>
        <v>0</v>
      </c>
      <c r="O38" s="13">
        <f>SUM(Orders!F38+(Orders!M38*Orders!F38)+Orders!N38)</f>
        <v>59.02</v>
      </c>
      <c r="R38" s="8" t="s">
        <v>148</v>
      </c>
      <c r="S38" s="8" t="s">
        <v>36</v>
      </c>
    </row>
    <row r="39" spans="1:19" ht="14" x14ac:dyDescent="0.15">
      <c r="A39">
        <v>2305437589</v>
      </c>
      <c r="B39" t="str">
        <f t="shared" si="0"/>
        <v>Google Pixel 7 Case</v>
      </c>
      <c r="C39">
        <v>3423</v>
      </c>
      <c r="D39">
        <v>5</v>
      </c>
      <c r="E39" s="5">
        <v>23.49</v>
      </c>
      <c r="F39" s="5">
        <v>117.45</v>
      </c>
      <c r="G39" t="s">
        <v>238</v>
      </c>
      <c r="H39" t="s">
        <v>239</v>
      </c>
      <c r="I39" t="s">
        <v>240</v>
      </c>
      <c r="J39" t="s">
        <v>241</v>
      </c>
      <c r="K39" t="s">
        <v>242</v>
      </c>
      <c r="L39" t="str">
        <f>VLOOKUP(K39, $R$3:$S$52, 2, FALSE)</f>
        <v>Missouri</v>
      </c>
      <c r="M39">
        <f>VLOOKUP(L39, Taxes!$A$2:$D$51, 3, FALSE)</f>
        <v>4.2249999999999996E-2</v>
      </c>
      <c r="N39">
        <f t="shared" si="1"/>
        <v>0</v>
      </c>
      <c r="O39" s="13">
        <f>SUM(Orders!F39+(Orders!M39*Orders!F39)+Orders!N39)</f>
        <v>122.4122625</v>
      </c>
      <c r="R39" s="8" t="s">
        <v>205</v>
      </c>
      <c r="S39" s="8" t="s">
        <v>37</v>
      </c>
    </row>
    <row r="40" spans="1:19" ht="14" x14ac:dyDescent="0.15">
      <c r="A40">
        <v>23405437588</v>
      </c>
      <c r="B40" t="str">
        <f t="shared" si="0"/>
        <v>iPhone 13 Case</v>
      </c>
      <c r="C40">
        <v>1078</v>
      </c>
      <c r="D40">
        <v>4</v>
      </c>
      <c r="E40" s="5">
        <v>19.09</v>
      </c>
      <c r="F40" s="5">
        <v>76.36</v>
      </c>
      <c r="G40" t="s">
        <v>243</v>
      </c>
      <c r="H40" t="s">
        <v>244</v>
      </c>
      <c r="I40" t="s">
        <v>245</v>
      </c>
      <c r="J40" t="s">
        <v>246</v>
      </c>
      <c r="K40" t="s">
        <v>148</v>
      </c>
      <c r="L40" t="str">
        <f>VLOOKUP(K40, $R$3:$S$52, 2, FALSE)</f>
        <v>Oklahoma</v>
      </c>
      <c r="M40">
        <f>VLOOKUP(L40, Taxes!$A$2:$D$51, 3, FALSE)</f>
        <v>4.4999999999999998E-2</v>
      </c>
      <c r="N40">
        <f t="shared" si="1"/>
        <v>0</v>
      </c>
      <c r="O40" s="13">
        <f>SUM(Orders!F40+(Orders!M40*Orders!F40)+Orders!N40)</f>
        <v>79.796199999999999</v>
      </c>
      <c r="R40" s="8" t="s">
        <v>177</v>
      </c>
      <c r="S40" s="8" t="s">
        <v>38</v>
      </c>
    </row>
    <row r="41" spans="1:19" ht="14" x14ac:dyDescent="0.15">
      <c r="A41">
        <v>2325437575</v>
      </c>
      <c r="B41" t="str">
        <f t="shared" si="0"/>
        <v>Samsung Galaxy S22 Case</v>
      </c>
      <c r="C41">
        <v>3622</v>
      </c>
      <c r="D41">
        <v>3</v>
      </c>
      <c r="E41" s="5">
        <v>20.059999999999999</v>
      </c>
      <c r="F41" s="5">
        <v>60.18</v>
      </c>
      <c r="G41" t="s">
        <v>247</v>
      </c>
      <c r="H41" t="s">
        <v>248</v>
      </c>
      <c r="I41" t="s">
        <v>249</v>
      </c>
      <c r="J41" t="s">
        <v>250</v>
      </c>
      <c r="K41" t="s">
        <v>251</v>
      </c>
      <c r="L41" t="str">
        <f>VLOOKUP(K41, $R$3:$S$52, 2, FALSE)</f>
        <v>Wisconsin</v>
      </c>
      <c r="M41">
        <f>VLOOKUP(L41, Taxes!$A$2:$D$51, 3, FALSE)</f>
        <v>0.05</v>
      </c>
      <c r="N41">
        <f t="shared" si="1"/>
        <v>0</v>
      </c>
      <c r="O41" s="13">
        <f>SUM(Orders!F41+(Orders!M41*Orders!F41)+Orders!N41)</f>
        <v>63.189</v>
      </c>
      <c r="R41" s="8" t="s">
        <v>298</v>
      </c>
      <c r="S41" s="8" t="s">
        <v>39</v>
      </c>
    </row>
    <row r="42" spans="1:19" ht="28" x14ac:dyDescent="0.15">
      <c r="A42">
        <v>2325437575</v>
      </c>
      <c r="B42" t="str">
        <f t="shared" si="0"/>
        <v>Samsung Galaxy S22 Case</v>
      </c>
      <c r="C42">
        <v>1073</v>
      </c>
      <c r="D42">
        <v>1</v>
      </c>
      <c r="E42" s="5">
        <v>11.63</v>
      </c>
      <c r="F42" s="5">
        <v>11.63</v>
      </c>
      <c r="G42" t="s">
        <v>252</v>
      </c>
      <c r="H42" t="s">
        <v>253</v>
      </c>
      <c r="I42" t="s">
        <v>254</v>
      </c>
      <c r="J42" t="s">
        <v>255</v>
      </c>
      <c r="K42" t="s">
        <v>215</v>
      </c>
      <c r="L42" t="str">
        <f>VLOOKUP(K42, $R$3:$S$52, 2, FALSE)</f>
        <v>Hawaii</v>
      </c>
      <c r="M42">
        <f>VLOOKUP(L42, Taxes!$A$2:$D$51, 3, FALSE)</f>
        <v>0.04</v>
      </c>
      <c r="N42">
        <f t="shared" si="1"/>
        <v>6</v>
      </c>
      <c r="O42" s="13">
        <f>SUM(Orders!F42+(Orders!M42*Orders!F42)+Orders!N42)</f>
        <v>18.095199999999998</v>
      </c>
      <c r="R42" s="8" t="s">
        <v>311</v>
      </c>
      <c r="S42" s="8" t="s">
        <v>40</v>
      </c>
    </row>
    <row r="43" spans="1:19" ht="14" x14ac:dyDescent="0.15">
      <c r="A43">
        <v>2305437589</v>
      </c>
      <c r="B43" t="str">
        <f t="shared" si="0"/>
        <v>Google Pixel 7 Case</v>
      </c>
      <c r="C43">
        <v>9676</v>
      </c>
      <c r="D43">
        <v>4</v>
      </c>
      <c r="E43" s="5">
        <v>21.7</v>
      </c>
      <c r="F43" s="5">
        <v>86.8</v>
      </c>
      <c r="G43" t="s">
        <v>124</v>
      </c>
      <c r="H43" t="s">
        <v>256</v>
      </c>
      <c r="I43" t="s">
        <v>257</v>
      </c>
      <c r="J43" t="s">
        <v>258</v>
      </c>
      <c r="K43" t="s">
        <v>100</v>
      </c>
      <c r="L43" t="str">
        <f>VLOOKUP(K43, $R$3:$S$52, 2, FALSE)</f>
        <v>Vermont</v>
      </c>
      <c r="M43">
        <f>VLOOKUP(L43, Taxes!$A$2:$D$51, 3, FALSE)</f>
        <v>0.06</v>
      </c>
      <c r="N43">
        <f t="shared" si="1"/>
        <v>0</v>
      </c>
      <c r="O43" s="13">
        <f>SUM(Orders!F43+(Orders!M43*Orders!F43)+Orders!N43)</f>
        <v>92.007999999999996</v>
      </c>
      <c r="R43" s="8" t="s">
        <v>201</v>
      </c>
      <c r="S43" s="8" t="s">
        <v>41</v>
      </c>
    </row>
    <row r="44" spans="1:19" ht="14" x14ac:dyDescent="0.15">
      <c r="A44">
        <v>21298732309</v>
      </c>
      <c r="B44" t="str">
        <f t="shared" si="0"/>
        <v>iPhone 14 Case</v>
      </c>
      <c r="C44">
        <v>5896</v>
      </c>
      <c r="D44">
        <v>5</v>
      </c>
      <c r="E44" s="5">
        <v>22.54</v>
      </c>
      <c r="F44" s="5">
        <v>112.7</v>
      </c>
      <c r="G44" t="s">
        <v>259</v>
      </c>
      <c r="H44" t="s">
        <v>260</v>
      </c>
      <c r="I44" t="s">
        <v>261</v>
      </c>
      <c r="J44" t="s">
        <v>262</v>
      </c>
      <c r="K44" t="s">
        <v>172</v>
      </c>
      <c r="L44" t="str">
        <f>VLOOKUP(K44, $R$3:$S$52, 2, FALSE)</f>
        <v>Illinois</v>
      </c>
      <c r="M44">
        <f>VLOOKUP(L44, Taxes!$A$2:$D$51, 3, FALSE)</f>
        <v>6.25E-2</v>
      </c>
      <c r="N44">
        <f t="shared" si="1"/>
        <v>0</v>
      </c>
      <c r="O44" s="13">
        <f>SUM(Orders!F44+(Orders!M44*Orders!F44)+Orders!N44)</f>
        <v>119.74375000000001</v>
      </c>
      <c r="R44" s="8" t="s">
        <v>109</v>
      </c>
      <c r="S44" s="8" t="s">
        <v>42</v>
      </c>
    </row>
    <row r="45" spans="1:19" ht="14" x14ac:dyDescent="0.15">
      <c r="A45">
        <v>2325437575</v>
      </c>
      <c r="B45" t="str">
        <f t="shared" si="0"/>
        <v>Samsung Galaxy S22 Case</v>
      </c>
      <c r="C45">
        <v>7155</v>
      </c>
      <c r="D45">
        <v>4</v>
      </c>
      <c r="E45" s="5">
        <v>15.27</v>
      </c>
      <c r="F45" s="5">
        <v>61.08</v>
      </c>
      <c r="G45" t="s">
        <v>263</v>
      </c>
      <c r="H45" t="s">
        <v>264</v>
      </c>
      <c r="I45" t="s">
        <v>265</v>
      </c>
      <c r="J45" t="s">
        <v>266</v>
      </c>
      <c r="K45" t="s">
        <v>267</v>
      </c>
      <c r="L45" t="str">
        <f>VLOOKUP(K45, $R$3:$S$52, 2, FALSE)</f>
        <v>Virginia</v>
      </c>
      <c r="M45">
        <f>VLOOKUP(L45, Taxes!$A$2:$D$51, 3, FALSE)</f>
        <v>4.2999999999999997E-2</v>
      </c>
      <c r="N45">
        <f t="shared" si="1"/>
        <v>0</v>
      </c>
      <c r="O45" s="13">
        <f>SUM(Orders!F45+(Orders!M45*Orders!F45)+Orders!N45)</f>
        <v>63.706440000000001</v>
      </c>
      <c r="R45" s="8" t="s">
        <v>312</v>
      </c>
      <c r="S45" s="8" t="s">
        <v>43</v>
      </c>
    </row>
    <row r="46" spans="1:19" ht="14" x14ac:dyDescent="0.15">
      <c r="A46">
        <v>23405437588</v>
      </c>
      <c r="B46" t="str">
        <f t="shared" si="0"/>
        <v>iPhone 13 Case</v>
      </c>
      <c r="C46">
        <v>5438</v>
      </c>
      <c r="D46">
        <v>5</v>
      </c>
      <c r="E46" s="5">
        <v>21.91</v>
      </c>
      <c r="F46" s="5">
        <v>109.55</v>
      </c>
      <c r="G46" t="s">
        <v>268</v>
      </c>
      <c r="H46" t="s">
        <v>269</v>
      </c>
      <c r="I46" t="s">
        <v>270</v>
      </c>
      <c r="J46" t="s">
        <v>271</v>
      </c>
      <c r="K46" t="s">
        <v>272</v>
      </c>
      <c r="L46" t="str">
        <f>VLOOKUP(K46, $R$3:$S$52, 2, FALSE)</f>
        <v>Arizona</v>
      </c>
      <c r="M46">
        <f>VLOOKUP(L46, Taxes!$A$2:$D$51, 3, FALSE)</f>
        <v>5.5999999999999994E-2</v>
      </c>
      <c r="N46">
        <f t="shared" si="1"/>
        <v>0</v>
      </c>
      <c r="O46" s="13">
        <f>SUM(Orders!F46+(Orders!M46*Orders!F46)+Orders!N46)</f>
        <v>115.6848</v>
      </c>
      <c r="R46" s="8" t="s">
        <v>114</v>
      </c>
      <c r="S46" s="8" t="s">
        <v>44</v>
      </c>
    </row>
    <row r="47" spans="1:19" ht="14" x14ac:dyDescent="0.15">
      <c r="A47">
        <v>2325437575</v>
      </c>
      <c r="B47" t="str">
        <f t="shared" si="0"/>
        <v>Samsung Galaxy S22 Case</v>
      </c>
      <c r="C47">
        <v>7316</v>
      </c>
      <c r="D47">
        <v>5</v>
      </c>
      <c r="E47" s="5">
        <v>22.16</v>
      </c>
      <c r="F47" s="5">
        <v>110.8</v>
      </c>
      <c r="G47" t="s">
        <v>273</v>
      </c>
      <c r="H47" t="s">
        <v>274</v>
      </c>
      <c r="I47" t="s">
        <v>275</v>
      </c>
      <c r="J47" t="s">
        <v>276</v>
      </c>
      <c r="K47" t="s">
        <v>272</v>
      </c>
      <c r="L47" t="str">
        <f>VLOOKUP(K47, $R$3:$S$52, 2, FALSE)</f>
        <v>Arizona</v>
      </c>
      <c r="M47">
        <f>VLOOKUP(L47, Taxes!$A$2:$D$51, 3, FALSE)</f>
        <v>5.5999999999999994E-2</v>
      </c>
      <c r="N47">
        <f t="shared" si="1"/>
        <v>0</v>
      </c>
      <c r="O47" s="13">
        <f>SUM(Orders!F47+(Orders!M47*Orders!F47)+Orders!N47)</f>
        <v>117.00479999999999</v>
      </c>
      <c r="R47" s="8" t="s">
        <v>100</v>
      </c>
      <c r="S47" s="8" t="s">
        <v>45</v>
      </c>
    </row>
    <row r="48" spans="1:19" ht="14" x14ac:dyDescent="0.15">
      <c r="A48">
        <v>2325437575</v>
      </c>
      <c r="B48" t="str">
        <f t="shared" si="0"/>
        <v>Samsung Galaxy S22 Case</v>
      </c>
      <c r="C48">
        <v>9651</v>
      </c>
      <c r="D48">
        <v>1</v>
      </c>
      <c r="E48" s="5">
        <v>15.85</v>
      </c>
      <c r="F48" s="5">
        <v>15.85</v>
      </c>
      <c r="G48" t="s">
        <v>277</v>
      </c>
      <c r="H48" t="s">
        <v>278</v>
      </c>
      <c r="I48" t="s">
        <v>279</v>
      </c>
      <c r="J48" t="s">
        <v>280</v>
      </c>
      <c r="K48" t="s">
        <v>233</v>
      </c>
      <c r="L48" t="str">
        <f>VLOOKUP(K48, $R$3:$S$52, 2, FALSE)</f>
        <v>New Hampshire</v>
      </c>
      <c r="M48">
        <f>VLOOKUP(L48, Taxes!$A$2:$D$51, 3, FALSE)</f>
        <v>0</v>
      </c>
      <c r="N48">
        <f t="shared" si="1"/>
        <v>6</v>
      </c>
      <c r="O48" s="13">
        <f>SUM(Orders!F48+(Orders!M48*Orders!F48)+Orders!N48)</f>
        <v>21.85</v>
      </c>
      <c r="R48" s="8" t="s">
        <v>267</v>
      </c>
      <c r="S48" s="8" t="s">
        <v>46</v>
      </c>
    </row>
    <row r="49" spans="1:19" ht="14" x14ac:dyDescent="0.15">
      <c r="A49">
        <v>23505437598</v>
      </c>
      <c r="B49" t="str">
        <f t="shared" si="0"/>
        <v>OnePlus 11 Case</v>
      </c>
      <c r="C49">
        <v>1930</v>
      </c>
      <c r="D49">
        <v>3</v>
      </c>
      <c r="E49" s="5">
        <v>21.65</v>
      </c>
      <c r="F49" s="5">
        <v>64.95</v>
      </c>
      <c r="G49" t="s">
        <v>281</v>
      </c>
      <c r="H49" t="s">
        <v>282</v>
      </c>
      <c r="I49" t="s">
        <v>283</v>
      </c>
      <c r="J49" t="s">
        <v>284</v>
      </c>
      <c r="K49" t="s">
        <v>167</v>
      </c>
      <c r="L49" t="str">
        <f>VLOOKUP(K49, $R$3:$S$52, 2, FALSE)</f>
        <v>Iowa</v>
      </c>
      <c r="M49">
        <f>VLOOKUP(L49, Taxes!$A$2:$D$51, 3, FALSE)</f>
        <v>0.06</v>
      </c>
      <c r="N49">
        <f t="shared" si="1"/>
        <v>0</v>
      </c>
      <c r="O49" s="13">
        <f>SUM(Orders!F49+(Orders!M49*Orders!F49)+Orders!N49)</f>
        <v>68.847000000000008</v>
      </c>
      <c r="R49" s="8" t="s">
        <v>313</v>
      </c>
      <c r="S49" s="8" t="s">
        <v>47</v>
      </c>
    </row>
    <row r="50" spans="1:19" ht="14" x14ac:dyDescent="0.15">
      <c r="A50">
        <v>21298732309</v>
      </c>
      <c r="B50" t="str">
        <f t="shared" si="0"/>
        <v>iPhone 14 Case</v>
      </c>
      <c r="C50">
        <v>8186</v>
      </c>
      <c r="D50">
        <v>2</v>
      </c>
      <c r="E50" s="5">
        <v>13.92</v>
      </c>
      <c r="F50" s="5">
        <v>27.84</v>
      </c>
      <c r="G50" t="s">
        <v>285</v>
      </c>
      <c r="H50" t="s">
        <v>286</v>
      </c>
      <c r="I50" t="s">
        <v>287</v>
      </c>
      <c r="J50" t="s">
        <v>288</v>
      </c>
      <c r="K50" t="s">
        <v>289</v>
      </c>
      <c r="L50" t="str">
        <f>VLOOKUP(K50, $R$3:$S$52, 2, FALSE)</f>
        <v>California</v>
      </c>
      <c r="M50">
        <f>VLOOKUP(L50, Taxes!$A$2:$D$51, 3, FALSE)</f>
        <v>0.06</v>
      </c>
      <c r="N50">
        <f t="shared" si="1"/>
        <v>6</v>
      </c>
      <c r="O50" s="13">
        <f>SUM(Orders!F50+(Orders!M50*Orders!F50)+Orders!N50)</f>
        <v>35.510400000000004</v>
      </c>
      <c r="R50" s="8" t="s">
        <v>314</v>
      </c>
      <c r="S50" s="8" t="s">
        <v>48</v>
      </c>
    </row>
    <row r="51" spans="1:19" ht="14" x14ac:dyDescent="0.15">
      <c r="A51">
        <v>23505437598</v>
      </c>
      <c r="B51" t="str">
        <f t="shared" si="0"/>
        <v>OnePlus 11 Case</v>
      </c>
      <c r="C51">
        <v>9656</v>
      </c>
      <c r="D51">
        <v>4</v>
      </c>
      <c r="E51" s="5">
        <v>13.51</v>
      </c>
      <c r="F51" s="5">
        <v>54.04</v>
      </c>
      <c r="G51" t="s">
        <v>290</v>
      </c>
      <c r="H51" t="s">
        <v>291</v>
      </c>
      <c r="I51" t="s">
        <v>292</v>
      </c>
      <c r="J51" t="s">
        <v>293</v>
      </c>
      <c r="K51" t="s">
        <v>267</v>
      </c>
      <c r="L51" t="str">
        <f>VLOOKUP(K51, $R$3:$S$52, 2, FALSE)</f>
        <v>Virginia</v>
      </c>
      <c r="M51">
        <f>VLOOKUP(L51, Taxes!$A$2:$D$51, 3, FALSE)</f>
        <v>4.2999999999999997E-2</v>
      </c>
      <c r="N51">
        <f t="shared" si="1"/>
        <v>0</v>
      </c>
      <c r="O51" s="13">
        <f>SUM(Orders!F51+(Orders!M51*Orders!F51)+Orders!N51)</f>
        <v>56.363720000000001</v>
      </c>
      <c r="R51" s="8" t="s">
        <v>251</v>
      </c>
      <c r="S51" s="8" t="s">
        <v>49</v>
      </c>
    </row>
    <row r="52" spans="1:19" ht="14" x14ac:dyDescent="0.15">
      <c r="A52">
        <v>2325437575</v>
      </c>
      <c r="B52" t="str">
        <f t="shared" si="0"/>
        <v>Samsung Galaxy S22 Case</v>
      </c>
      <c r="C52">
        <v>5074</v>
      </c>
      <c r="D52">
        <v>3</v>
      </c>
      <c r="E52" s="5">
        <v>20.14</v>
      </c>
      <c r="F52" s="5">
        <v>60.42</v>
      </c>
      <c r="G52" t="s">
        <v>294</v>
      </c>
      <c r="H52" t="s">
        <v>295</v>
      </c>
      <c r="I52" t="s">
        <v>296</v>
      </c>
      <c r="J52" t="s">
        <v>297</v>
      </c>
      <c r="K52" t="s">
        <v>298</v>
      </c>
      <c r="L52" t="str">
        <f>VLOOKUP(K52, $R$3:$S$52, 2, FALSE)</f>
        <v>Rhode Island</v>
      </c>
      <c r="M52">
        <f>VLOOKUP(L52, Taxes!$A$2:$D$51, 3, FALSE)</f>
        <v>7.0000000000000007E-2</v>
      </c>
      <c r="N52">
        <f t="shared" si="1"/>
        <v>0</v>
      </c>
      <c r="O52" s="13">
        <f>SUM(Orders!F52+(Orders!M52*Orders!F52)+Orders!N52)</f>
        <v>64.6494</v>
      </c>
      <c r="R52" s="8" t="s">
        <v>315</v>
      </c>
      <c r="S52" s="8" t="s">
        <v>50</v>
      </c>
    </row>
    <row r="53" spans="1:19" x14ac:dyDescent="0.15">
      <c r="A53" t="s">
        <v>317</v>
      </c>
      <c r="E53" s="14">
        <f>SUBTOTAL(101,Table2[Column5])</f>
        <v>18.118399999999998</v>
      </c>
      <c r="F53" s="14">
        <f>SUBTOTAL(101,Table2[Column6])</f>
        <v>54.648200000000003</v>
      </c>
      <c r="R53" s="15"/>
      <c r="S53" s="15">
        <f>SUBTOTAL(103,Table2[Column19])</f>
        <v>51</v>
      </c>
    </row>
    <row r="56" spans="1:19" ht="14" x14ac:dyDescent="0.15">
      <c r="B56" s="6" t="s">
        <v>323</v>
      </c>
      <c r="C56" s="20">
        <v>18.12</v>
      </c>
    </row>
    <row r="57" spans="1:19" ht="28" x14ac:dyDescent="0.15">
      <c r="B57" s="6" t="s">
        <v>324</v>
      </c>
      <c r="C57">
        <f>COUNTIF(E3:E52, "&gt;18.12")</f>
        <v>27</v>
      </c>
    </row>
    <row r="58" spans="1:19" x14ac:dyDescent="0.15">
      <c r="B58" t="s">
        <v>325</v>
      </c>
      <c r="C58" s="19" t="s">
        <v>348</v>
      </c>
    </row>
    <row r="61" spans="1:19" x14ac:dyDescent="0.15">
      <c r="F61" s="19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7DEF-49CE-B44A-82C9-5CD7A69D17A3}">
  <dimension ref="A3:B42"/>
  <sheetViews>
    <sheetView workbookViewId="0">
      <selection activeCell="B42" sqref="B42"/>
    </sheetView>
  </sheetViews>
  <sheetFormatPr baseColWidth="10" defaultRowHeight="13" x14ac:dyDescent="0.15"/>
  <cols>
    <col min="1" max="1" width="13.1640625" bestFit="1" customWidth="1"/>
    <col min="2" max="2" width="15.5" bestFit="1" customWidth="1"/>
  </cols>
  <sheetData>
    <row r="3" spans="1:2" x14ac:dyDescent="0.15">
      <c r="A3" s="16" t="s">
        <v>345</v>
      </c>
      <c r="B3" t="s">
        <v>347</v>
      </c>
    </row>
    <row r="4" spans="1:2" x14ac:dyDescent="0.15">
      <c r="A4" s="17" t="s">
        <v>74</v>
      </c>
      <c r="B4" s="18">
        <v>1</v>
      </c>
    </row>
    <row r="5" spans="1:2" x14ac:dyDescent="0.15">
      <c r="A5" s="17" t="s">
        <v>127</v>
      </c>
      <c r="B5" s="18">
        <v>1</v>
      </c>
    </row>
    <row r="6" spans="1:2" x14ac:dyDescent="0.15">
      <c r="A6" s="17" t="s">
        <v>191</v>
      </c>
      <c r="B6" s="18">
        <v>1</v>
      </c>
    </row>
    <row r="7" spans="1:2" x14ac:dyDescent="0.15">
      <c r="A7" s="17" t="s">
        <v>233</v>
      </c>
      <c r="B7" s="18">
        <v>2</v>
      </c>
    </row>
    <row r="8" spans="1:2" x14ac:dyDescent="0.15">
      <c r="A8" s="17" t="s">
        <v>90</v>
      </c>
      <c r="B8" s="18">
        <v>1</v>
      </c>
    </row>
    <row r="9" spans="1:2" x14ac:dyDescent="0.15">
      <c r="A9" s="17" t="s">
        <v>177</v>
      </c>
      <c r="B9" s="18">
        <v>1</v>
      </c>
    </row>
    <row r="10" spans="1:2" x14ac:dyDescent="0.15">
      <c r="A10" s="17" t="s">
        <v>346</v>
      </c>
      <c r="B10" s="18">
        <v>7</v>
      </c>
    </row>
    <row r="42" spans="2:2" x14ac:dyDescent="0.15">
      <c r="B42" s="19" t="s">
        <v>348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AB53A94A704F4A8194D0C05AA48798" ma:contentTypeVersion="8" ma:contentTypeDescription="Create a new document." ma:contentTypeScope="" ma:versionID="a47966735ac02a6089d5ecc33f5ddcda">
  <xsd:schema xmlns:xsd="http://www.w3.org/2001/XMLSchema" xmlns:xs="http://www.w3.org/2001/XMLSchema" xmlns:p="http://schemas.microsoft.com/office/2006/metadata/properties" xmlns:ns2="bdef3ca3-5535-4985-9e35-ab8e6d7d127e" targetNamespace="http://schemas.microsoft.com/office/2006/metadata/properties" ma:root="true" ma:fieldsID="cb08c89a4ead3148b3abe8e9753e4bdc" ns2:_="">
    <xsd:import namespace="bdef3ca3-5535-4985-9e35-ab8e6d7d12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f3ca3-5535-4985-9e35-ab8e6d7d12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4B6A21-8B0D-42FA-86FB-F895214CB8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ADB0E39-0279-4C16-A060-FA0D18A9BF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ef3ca3-5535-4985-9e35-ab8e6d7d12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C1F2CB-A5FB-4A04-997C-899F0CED44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Taxes</vt:lpstr>
      <vt:lpstr>Orders</vt:lpstr>
      <vt:lpstr>Charts</vt:lpstr>
    </vt:vector>
  </TitlesOfParts>
  <Manager/>
  <Company>Stephen L. Nelson,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Kaarin Dolliver</dc:creator>
  <cp:keywords/>
  <dc:description/>
  <cp:lastModifiedBy>Anthony Maniscalco</cp:lastModifiedBy>
  <cp:revision/>
  <dcterms:created xsi:type="dcterms:W3CDTF">1999-08-10T16:59:59Z</dcterms:created>
  <dcterms:modified xsi:type="dcterms:W3CDTF">2025-04-23T22:34:30Z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0x01010064AB53A94A704F4A8194D0C05AA48798</vt:lpwstr>
  </property>
</Properties>
</file>